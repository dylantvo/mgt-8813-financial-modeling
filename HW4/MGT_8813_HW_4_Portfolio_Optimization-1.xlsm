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gtvault-my.sharepoint.com/personal/dvo41_gatech_edu/Documents/Summer 2025/MGMT 8813/HW4/"/>
    </mc:Choice>
  </mc:AlternateContent>
  <xr:revisionPtr revIDLastSave="3471" documentId="14_{004D7F58-0999-4A2D-9E3F-F1033D63F5FD}" xr6:coauthVersionLast="47" xr6:coauthVersionMax="47" xr10:uidLastSave="{8A869919-6162-404B-8D14-FE111700078E}"/>
  <bookViews>
    <workbookView xWindow="-98" yWindow="-98" windowWidth="19396" windowHeight="11475" firstSheet="3" activeTab="5" xr2:uid="{00000000-000D-0000-FFFF-FFFF00000000}"/>
  </bookViews>
  <sheets>
    <sheet name="Announcement" sheetId="5" state="veryHidden" r:id="rId1"/>
    <sheet name="Information_Sheet" sheetId="4" r:id="rId2"/>
    <sheet name="LogRecord" sheetId="6" state="veryHidden" r:id="rId3"/>
    <sheet name="Data_Prices_Returns" sheetId="1" r:id="rId4"/>
    <sheet name="Variance Covariance Matrix" sheetId="2" r:id="rId5"/>
    <sheet name="Portfolio Optimization" sheetId="3" r:id="rId6"/>
  </sheets>
  <definedNames>
    <definedName name="solver_adj" localSheetId="5" hidden="1">'Portfolio Optimization'!$H$6:$H$11</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'Portfolio Optimization'!$H$12</definedName>
    <definedName name="solver_lhs2" localSheetId="5" hidden="1">'Portfolio Optimization'!$H$13</definedName>
    <definedName name="solver_lhs3" localSheetId="5" hidden="1">'Portfolio Optimization'!$H$15</definedName>
    <definedName name="solver_lhs4" localSheetId="5" hidden="1">'Portfolio Optimization'!$H$6:$H$11</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2</definedName>
    <definedName name="solver_nwt" localSheetId="5" hidden="1">1</definedName>
    <definedName name="solver_opt" localSheetId="5" hidden="1">'Portfolio Optimization'!$H$15</definedName>
    <definedName name="solver_pre" localSheetId="5" hidden="1">0.000001</definedName>
    <definedName name="solver_rbv" localSheetId="5" hidden="1">1</definedName>
    <definedName name="solver_rel1" localSheetId="5" hidden="1">2</definedName>
    <definedName name="solver_rel2" localSheetId="5" hidden="1">3</definedName>
    <definedName name="solver_rel3" localSheetId="5" hidden="1">1</definedName>
    <definedName name="solver_rel4" localSheetId="5" hidden="1">3</definedName>
    <definedName name="solver_rhs1" localSheetId="5" hidden="1">1</definedName>
    <definedName name="solver_rhs2" localSheetId="5" hidden="1">'Portfolio Optimization'!$H$4</definedName>
    <definedName name="solver_rhs3" localSheetId="5" hidden="1">'Portfolio Optimization'!$H$4</definedName>
    <definedName name="solver_rhs4" localSheetId="5" hidden="1">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3" l="1"/>
  <c r="H4" i="3"/>
  <c r="G4" i="3"/>
  <c r="C164" i="1"/>
  <c r="D164" i="1"/>
  <c r="E164" i="1"/>
  <c r="F164" i="1"/>
  <c r="G164" i="1"/>
  <c r="B164" i="1"/>
  <c r="G26" i="2" s="1"/>
  <c r="C161" i="1"/>
  <c r="D161" i="1"/>
  <c r="E161" i="1"/>
  <c r="E162" i="1" s="1"/>
  <c r="B35" i="2" s="1"/>
  <c r="F161" i="1"/>
  <c r="G161" i="1"/>
  <c r="F13" i="3" a="1"/>
  <c r="F13" i="3" s="1"/>
  <c r="F12" i="3"/>
  <c r="F7" i="3"/>
  <c r="F8" i="3"/>
  <c r="F9" i="3"/>
  <c r="F10" i="3"/>
  <c r="F11" i="3"/>
  <c r="F6" i="3"/>
  <c r="B8" i="2" a="1"/>
  <c r="B8" i="2" s="1"/>
  <c r="G162" i="1"/>
  <c r="B37" i="2" s="1"/>
  <c r="F162" i="1"/>
  <c r="B36" i="2" s="1"/>
  <c r="D162" i="1"/>
  <c r="B34" i="2" s="1"/>
  <c r="C162" i="1"/>
  <c r="B33" i="2" s="1"/>
  <c r="C123" i="1"/>
  <c r="D123" i="1"/>
  <c r="E123" i="1"/>
  <c r="F123" i="1"/>
  <c r="G123" i="1"/>
  <c r="C124" i="1"/>
  <c r="D124" i="1"/>
  <c r="E124" i="1"/>
  <c r="F124" i="1"/>
  <c r="G124" i="1"/>
  <c r="C125" i="1"/>
  <c r="D125" i="1"/>
  <c r="E125" i="1"/>
  <c r="F125" i="1"/>
  <c r="G125" i="1"/>
  <c r="C126" i="1"/>
  <c r="D126" i="1"/>
  <c r="E126" i="1"/>
  <c r="F126" i="1"/>
  <c r="G126" i="1"/>
  <c r="C127" i="1"/>
  <c r="D127" i="1"/>
  <c r="E127" i="1"/>
  <c r="F127" i="1"/>
  <c r="G127" i="1"/>
  <c r="C128" i="1"/>
  <c r="D128" i="1"/>
  <c r="E128" i="1"/>
  <c r="F128" i="1"/>
  <c r="G128" i="1"/>
  <c r="C129" i="1"/>
  <c r="D129" i="1"/>
  <c r="E129" i="1"/>
  <c r="F129" i="1"/>
  <c r="G129" i="1"/>
  <c r="C130" i="1"/>
  <c r="D130" i="1"/>
  <c r="E130" i="1"/>
  <c r="F130" i="1"/>
  <c r="G130" i="1"/>
  <c r="C131" i="1"/>
  <c r="D131" i="1"/>
  <c r="E131" i="1"/>
  <c r="F131" i="1"/>
  <c r="G131" i="1"/>
  <c r="C132" i="1"/>
  <c r="D132" i="1"/>
  <c r="E132" i="1"/>
  <c r="F132" i="1"/>
  <c r="G132" i="1"/>
  <c r="C133" i="1"/>
  <c r="D133" i="1"/>
  <c r="E133" i="1"/>
  <c r="F133" i="1"/>
  <c r="G133" i="1"/>
  <c r="C134" i="1"/>
  <c r="D134" i="1"/>
  <c r="E134" i="1"/>
  <c r="F134" i="1"/>
  <c r="G134" i="1"/>
  <c r="C135" i="1"/>
  <c r="D135" i="1"/>
  <c r="E135" i="1"/>
  <c r="F135" i="1"/>
  <c r="G135" i="1"/>
  <c r="C136" i="1"/>
  <c r="D136" i="1"/>
  <c r="E136" i="1"/>
  <c r="F136" i="1"/>
  <c r="G136" i="1"/>
  <c r="C137" i="1"/>
  <c r="D137" i="1"/>
  <c r="E137" i="1"/>
  <c r="F137" i="1"/>
  <c r="G137" i="1"/>
  <c r="C138" i="1"/>
  <c r="D138" i="1"/>
  <c r="E138" i="1"/>
  <c r="F138" i="1"/>
  <c r="G138" i="1"/>
  <c r="C139" i="1"/>
  <c r="D139" i="1"/>
  <c r="E139" i="1"/>
  <c r="F139" i="1"/>
  <c r="G139" i="1"/>
  <c r="C140" i="1"/>
  <c r="D140" i="1"/>
  <c r="E140" i="1"/>
  <c r="F140" i="1"/>
  <c r="G140" i="1"/>
  <c r="C141" i="1"/>
  <c r="D141" i="1"/>
  <c r="E141" i="1"/>
  <c r="F141" i="1"/>
  <c r="G141" i="1"/>
  <c r="C142" i="1"/>
  <c r="D142" i="1"/>
  <c r="E142" i="1"/>
  <c r="F142" i="1"/>
  <c r="G142" i="1"/>
  <c r="C143" i="1"/>
  <c r="D143" i="1"/>
  <c r="E143" i="1"/>
  <c r="F143" i="1"/>
  <c r="G143" i="1"/>
  <c r="C144" i="1"/>
  <c r="D144" i="1"/>
  <c r="E144" i="1"/>
  <c r="F144" i="1"/>
  <c r="G144" i="1"/>
  <c r="C145" i="1"/>
  <c r="D145" i="1"/>
  <c r="E145" i="1"/>
  <c r="F145" i="1"/>
  <c r="G145" i="1"/>
  <c r="C146" i="1"/>
  <c r="D146" i="1"/>
  <c r="E146" i="1"/>
  <c r="F146" i="1"/>
  <c r="G146" i="1"/>
  <c r="C147" i="1"/>
  <c r="D147" i="1"/>
  <c r="E147" i="1"/>
  <c r="F147" i="1"/>
  <c r="G147" i="1"/>
  <c r="C148" i="1"/>
  <c r="D148" i="1"/>
  <c r="E148" i="1"/>
  <c r="F148" i="1"/>
  <c r="G148" i="1"/>
  <c r="C149" i="1"/>
  <c r="D149" i="1"/>
  <c r="E149" i="1"/>
  <c r="F149" i="1"/>
  <c r="G149" i="1"/>
  <c r="C150" i="1"/>
  <c r="D150" i="1"/>
  <c r="E150" i="1"/>
  <c r="F150" i="1"/>
  <c r="G150" i="1"/>
  <c r="C151" i="1"/>
  <c r="D151" i="1"/>
  <c r="E151" i="1"/>
  <c r="F151" i="1"/>
  <c r="G151" i="1"/>
  <c r="C152" i="1"/>
  <c r="D152" i="1"/>
  <c r="E152" i="1"/>
  <c r="F152" i="1"/>
  <c r="G152" i="1"/>
  <c r="C153" i="1"/>
  <c r="D153" i="1"/>
  <c r="E153" i="1"/>
  <c r="F153" i="1"/>
  <c r="G153" i="1"/>
  <c r="C154" i="1"/>
  <c r="D154" i="1"/>
  <c r="E154" i="1"/>
  <c r="F154" i="1"/>
  <c r="G154" i="1"/>
  <c r="C155" i="1"/>
  <c r="D155" i="1"/>
  <c r="E155" i="1"/>
  <c r="F155" i="1"/>
  <c r="G155" i="1"/>
  <c r="C156" i="1"/>
  <c r="D156" i="1"/>
  <c r="E156" i="1"/>
  <c r="F156" i="1"/>
  <c r="G156" i="1"/>
  <c r="C157" i="1"/>
  <c r="D157" i="1"/>
  <c r="E157" i="1"/>
  <c r="F157" i="1"/>
  <c r="G157" i="1"/>
  <c r="C158" i="1"/>
  <c r="D158" i="1"/>
  <c r="E158" i="1"/>
  <c r="F158" i="1"/>
  <c r="G158"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23" i="1"/>
  <c r="C84" i="1"/>
  <c r="D84" i="1"/>
  <c r="E84" i="1"/>
  <c r="F84" i="1"/>
  <c r="G84" i="1"/>
  <c r="C85" i="1"/>
  <c r="D85" i="1"/>
  <c r="E85" i="1"/>
  <c r="F85" i="1"/>
  <c r="G85" i="1"/>
  <c r="C86" i="1"/>
  <c r="D86" i="1"/>
  <c r="E86" i="1"/>
  <c r="F86" i="1"/>
  <c r="G86" i="1"/>
  <c r="C87" i="1"/>
  <c r="D87" i="1"/>
  <c r="E87" i="1"/>
  <c r="F87" i="1"/>
  <c r="G87" i="1"/>
  <c r="C88" i="1"/>
  <c r="D88" i="1"/>
  <c r="E88" i="1"/>
  <c r="F88" i="1"/>
  <c r="G88" i="1"/>
  <c r="C89" i="1"/>
  <c r="D89" i="1"/>
  <c r="E89" i="1"/>
  <c r="F89" i="1"/>
  <c r="G89" i="1"/>
  <c r="C90" i="1"/>
  <c r="D90" i="1"/>
  <c r="E90" i="1"/>
  <c r="F90" i="1"/>
  <c r="G90" i="1"/>
  <c r="C91" i="1"/>
  <c r="D91" i="1"/>
  <c r="E91" i="1"/>
  <c r="F91" i="1"/>
  <c r="G91" i="1"/>
  <c r="C92" i="1"/>
  <c r="D92" i="1"/>
  <c r="E92" i="1"/>
  <c r="F92" i="1"/>
  <c r="G92" i="1"/>
  <c r="C93" i="1"/>
  <c r="D93" i="1"/>
  <c r="E93" i="1"/>
  <c r="F93" i="1"/>
  <c r="G93" i="1"/>
  <c r="C94" i="1"/>
  <c r="D94" i="1"/>
  <c r="E94" i="1"/>
  <c r="F94" i="1"/>
  <c r="G94" i="1"/>
  <c r="C95" i="1"/>
  <c r="D95" i="1"/>
  <c r="E95" i="1"/>
  <c r="F95" i="1"/>
  <c r="G95" i="1"/>
  <c r="C96" i="1"/>
  <c r="D96" i="1"/>
  <c r="E96" i="1"/>
  <c r="F96" i="1"/>
  <c r="G96" i="1"/>
  <c r="C97" i="1"/>
  <c r="D97" i="1"/>
  <c r="E97" i="1"/>
  <c r="F97" i="1"/>
  <c r="G97" i="1"/>
  <c r="C98" i="1"/>
  <c r="D98" i="1"/>
  <c r="E98" i="1"/>
  <c r="F98" i="1"/>
  <c r="G98" i="1"/>
  <c r="C99" i="1"/>
  <c r="D99" i="1"/>
  <c r="E99" i="1"/>
  <c r="F99" i="1"/>
  <c r="G99" i="1"/>
  <c r="C100" i="1"/>
  <c r="D100" i="1"/>
  <c r="E100" i="1"/>
  <c r="F100" i="1"/>
  <c r="G100" i="1"/>
  <c r="C101" i="1"/>
  <c r="D101" i="1"/>
  <c r="E101" i="1"/>
  <c r="F101" i="1"/>
  <c r="G101" i="1"/>
  <c r="C102" i="1"/>
  <c r="D102" i="1"/>
  <c r="E102" i="1"/>
  <c r="F102" i="1"/>
  <c r="G102" i="1"/>
  <c r="C103" i="1"/>
  <c r="D103" i="1"/>
  <c r="E103" i="1"/>
  <c r="F103" i="1"/>
  <c r="G103" i="1"/>
  <c r="C104" i="1"/>
  <c r="D104" i="1"/>
  <c r="E104" i="1"/>
  <c r="F104" i="1"/>
  <c r="G104" i="1"/>
  <c r="C105" i="1"/>
  <c r="D105" i="1"/>
  <c r="E105" i="1"/>
  <c r="F105" i="1"/>
  <c r="G105" i="1"/>
  <c r="C106" i="1"/>
  <c r="D106" i="1"/>
  <c r="E106" i="1"/>
  <c r="F106" i="1"/>
  <c r="G106" i="1"/>
  <c r="C107" i="1"/>
  <c r="D107" i="1"/>
  <c r="E107" i="1"/>
  <c r="F107" i="1"/>
  <c r="G107" i="1"/>
  <c r="C108" i="1"/>
  <c r="D108" i="1"/>
  <c r="E108" i="1"/>
  <c r="F108" i="1"/>
  <c r="G108" i="1"/>
  <c r="C109" i="1"/>
  <c r="D109" i="1"/>
  <c r="E109" i="1"/>
  <c r="F109" i="1"/>
  <c r="G109" i="1"/>
  <c r="C110" i="1"/>
  <c r="D110" i="1"/>
  <c r="E110" i="1"/>
  <c r="F110" i="1"/>
  <c r="G110" i="1"/>
  <c r="C111" i="1"/>
  <c r="D111" i="1"/>
  <c r="E111" i="1"/>
  <c r="F111" i="1"/>
  <c r="G111" i="1"/>
  <c r="C112" i="1"/>
  <c r="D112" i="1"/>
  <c r="E112" i="1"/>
  <c r="F112" i="1"/>
  <c r="G112" i="1"/>
  <c r="C113" i="1"/>
  <c r="D113" i="1"/>
  <c r="E113" i="1"/>
  <c r="F113" i="1"/>
  <c r="G113" i="1"/>
  <c r="C114" i="1"/>
  <c r="D114" i="1"/>
  <c r="E114" i="1"/>
  <c r="F114" i="1"/>
  <c r="G114" i="1"/>
  <c r="C115" i="1"/>
  <c r="D115" i="1"/>
  <c r="E115" i="1"/>
  <c r="F115" i="1"/>
  <c r="G115" i="1"/>
  <c r="C116" i="1"/>
  <c r="D116" i="1"/>
  <c r="E116" i="1"/>
  <c r="F116" i="1"/>
  <c r="G116" i="1"/>
  <c r="C117" i="1"/>
  <c r="D117" i="1"/>
  <c r="E117" i="1"/>
  <c r="F117" i="1"/>
  <c r="G117" i="1"/>
  <c r="C118" i="1"/>
  <c r="D118" i="1"/>
  <c r="E118" i="1"/>
  <c r="F118" i="1"/>
  <c r="G118" i="1"/>
  <c r="C119" i="1"/>
  <c r="D119" i="1"/>
  <c r="E119" i="1"/>
  <c r="F119" i="1"/>
  <c r="G119"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84" i="1"/>
  <c r="C80" i="1"/>
  <c r="D80" i="1"/>
  <c r="E80" i="1"/>
  <c r="F80" i="1"/>
  <c r="G80" i="1"/>
  <c r="B80" i="1"/>
  <c r="B44" i="1"/>
  <c r="C44" i="1"/>
  <c r="D44" i="1"/>
  <c r="E44" i="1"/>
  <c r="F44" i="1"/>
  <c r="G44" i="1"/>
  <c r="B45" i="1"/>
  <c r="C45" i="1"/>
  <c r="D45" i="1"/>
  <c r="E45" i="1"/>
  <c r="F45" i="1"/>
  <c r="G45" i="1"/>
  <c r="B46" i="1"/>
  <c r="C46" i="1"/>
  <c r="D46" i="1"/>
  <c r="E46" i="1"/>
  <c r="F46" i="1"/>
  <c r="G46" i="1"/>
  <c r="B47" i="1"/>
  <c r="C47" i="1"/>
  <c r="D47" i="1"/>
  <c r="E47" i="1"/>
  <c r="F47" i="1"/>
  <c r="G47" i="1"/>
  <c r="B48" i="1"/>
  <c r="C48" i="1"/>
  <c r="D48" i="1"/>
  <c r="E48" i="1"/>
  <c r="F48" i="1"/>
  <c r="G48" i="1"/>
  <c r="B49" i="1"/>
  <c r="C49" i="1"/>
  <c r="D49" i="1"/>
  <c r="E49" i="1"/>
  <c r="F49" i="1"/>
  <c r="G49" i="1"/>
  <c r="B50" i="1"/>
  <c r="C50" i="1"/>
  <c r="D50" i="1"/>
  <c r="E50" i="1"/>
  <c r="F50" i="1"/>
  <c r="G50" i="1"/>
  <c r="B51" i="1"/>
  <c r="C51" i="1"/>
  <c r="D51" i="1"/>
  <c r="E51" i="1"/>
  <c r="F51" i="1"/>
  <c r="G51" i="1"/>
  <c r="B52" i="1"/>
  <c r="C52" i="1"/>
  <c r="D52" i="1"/>
  <c r="E52" i="1"/>
  <c r="F52" i="1"/>
  <c r="G52" i="1"/>
  <c r="B53" i="1"/>
  <c r="C53" i="1"/>
  <c r="D53" i="1"/>
  <c r="E53" i="1"/>
  <c r="F53" i="1"/>
  <c r="G53" i="1"/>
  <c r="B54" i="1"/>
  <c r="C54" i="1"/>
  <c r="D54" i="1"/>
  <c r="E54" i="1"/>
  <c r="F54" i="1"/>
  <c r="G54" i="1"/>
  <c r="B55" i="1"/>
  <c r="C55" i="1"/>
  <c r="D55" i="1"/>
  <c r="E55" i="1"/>
  <c r="F55" i="1"/>
  <c r="G55" i="1"/>
  <c r="B56" i="1"/>
  <c r="C56" i="1"/>
  <c r="D56" i="1"/>
  <c r="E56" i="1"/>
  <c r="F56" i="1"/>
  <c r="G56" i="1"/>
  <c r="B57" i="1"/>
  <c r="C57" i="1"/>
  <c r="D57" i="1"/>
  <c r="E57" i="1"/>
  <c r="F57" i="1"/>
  <c r="G57" i="1"/>
  <c r="B58" i="1"/>
  <c r="C58" i="1"/>
  <c r="D58" i="1"/>
  <c r="E58" i="1"/>
  <c r="F58" i="1"/>
  <c r="G58" i="1"/>
  <c r="B59" i="1"/>
  <c r="C59" i="1"/>
  <c r="D59" i="1"/>
  <c r="E59" i="1"/>
  <c r="F59" i="1"/>
  <c r="G59" i="1"/>
  <c r="B60" i="1"/>
  <c r="C60" i="1"/>
  <c r="D60" i="1"/>
  <c r="E60" i="1"/>
  <c r="F60" i="1"/>
  <c r="G60" i="1"/>
  <c r="B61" i="1"/>
  <c r="C61" i="1"/>
  <c r="D61" i="1"/>
  <c r="E61" i="1"/>
  <c r="F61" i="1"/>
  <c r="G61" i="1"/>
  <c r="B62" i="1"/>
  <c r="C62" i="1"/>
  <c r="D62" i="1"/>
  <c r="E62" i="1"/>
  <c r="F62" i="1"/>
  <c r="G62" i="1"/>
  <c r="B63" i="1"/>
  <c r="C63" i="1"/>
  <c r="D63" i="1"/>
  <c r="E63" i="1"/>
  <c r="F63" i="1"/>
  <c r="G63" i="1"/>
  <c r="B64" i="1"/>
  <c r="C64" i="1"/>
  <c r="D64" i="1"/>
  <c r="E64" i="1"/>
  <c r="F64" i="1"/>
  <c r="G64" i="1"/>
  <c r="B65" i="1"/>
  <c r="C65" i="1"/>
  <c r="D65" i="1"/>
  <c r="E65" i="1"/>
  <c r="F65" i="1"/>
  <c r="G65" i="1"/>
  <c r="B66" i="1"/>
  <c r="C66" i="1"/>
  <c r="D66" i="1"/>
  <c r="E66" i="1"/>
  <c r="F66" i="1"/>
  <c r="G66" i="1"/>
  <c r="B67" i="1"/>
  <c r="C67" i="1"/>
  <c r="D67" i="1"/>
  <c r="E67" i="1"/>
  <c r="F67" i="1"/>
  <c r="G67" i="1"/>
  <c r="B68" i="1"/>
  <c r="C68" i="1"/>
  <c r="D68" i="1"/>
  <c r="E68" i="1"/>
  <c r="F68" i="1"/>
  <c r="G68" i="1"/>
  <c r="B69" i="1"/>
  <c r="C69" i="1"/>
  <c r="D69" i="1"/>
  <c r="E69" i="1"/>
  <c r="F69" i="1"/>
  <c r="G69" i="1"/>
  <c r="B70" i="1"/>
  <c r="C70" i="1"/>
  <c r="D70" i="1"/>
  <c r="E70" i="1"/>
  <c r="F70" i="1"/>
  <c r="G70" i="1"/>
  <c r="B71" i="1"/>
  <c r="C71" i="1"/>
  <c r="D71" i="1"/>
  <c r="E71" i="1"/>
  <c r="F71" i="1"/>
  <c r="G71" i="1"/>
  <c r="B72" i="1"/>
  <c r="C72" i="1"/>
  <c r="D72" i="1"/>
  <c r="E72" i="1"/>
  <c r="F72" i="1"/>
  <c r="G72" i="1"/>
  <c r="B73" i="1"/>
  <c r="C73" i="1"/>
  <c r="D73" i="1"/>
  <c r="E73" i="1"/>
  <c r="F73" i="1"/>
  <c r="G73" i="1"/>
  <c r="B74" i="1"/>
  <c r="C74" i="1"/>
  <c r="D74" i="1"/>
  <c r="E74" i="1"/>
  <c r="F74" i="1"/>
  <c r="G74" i="1"/>
  <c r="B75" i="1"/>
  <c r="C75" i="1"/>
  <c r="D75" i="1"/>
  <c r="E75" i="1"/>
  <c r="F75" i="1"/>
  <c r="G75" i="1"/>
  <c r="B76" i="1"/>
  <c r="C76" i="1"/>
  <c r="D76" i="1"/>
  <c r="E76" i="1"/>
  <c r="F76" i="1"/>
  <c r="G76" i="1"/>
  <c r="B77" i="1"/>
  <c r="C77" i="1"/>
  <c r="D77" i="1"/>
  <c r="E77" i="1"/>
  <c r="F77" i="1"/>
  <c r="G77" i="1"/>
  <c r="B78" i="1"/>
  <c r="C78" i="1"/>
  <c r="D78" i="1"/>
  <c r="E78" i="1"/>
  <c r="F78" i="1"/>
  <c r="G78" i="1"/>
  <c r="C43" i="1"/>
  <c r="D43" i="1"/>
  <c r="E43" i="1"/>
  <c r="F43" i="1"/>
  <c r="G43" i="1"/>
  <c r="B43" i="1"/>
  <c r="XFD1048550" i="3" a="1"/>
  <c r="XFD1048550" i="3" s="1"/>
  <c r="XFD1048551" i="3" a="1"/>
  <c r="XFD1048551" i="3" s="1"/>
  <c r="XFD1048552" i="3"/>
  <c r="XFD1048553" i="3"/>
  <c r="XFD1048554" i="3"/>
  <c r="XFD1048555" i="3"/>
  <c r="H13" i="3" l="1" a="1"/>
  <c r="H13" i="3" s="1"/>
  <c r="E24" i="2"/>
  <c r="F24" i="2"/>
  <c r="B22" i="2"/>
  <c r="F21" i="2"/>
  <c r="G24" i="2"/>
  <c r="B161" i="1"/>
  <c r="B162" i="1" s="1"/>
  <c r="B32" i="2" s="1"/>
  <c r="G21" i="2"/>
  <c r="C25" i="2"/>
  <c r="C22" i="2"/>
  <c r="D25" i="2"/>
  <c r="G23" i="2"/>
  <c r="D24" i="2"/>
  <c r="E21" i="2"/>
  <c r="D22" i="2"/>
  <c r="E25" i="2"/>
  <c r="B23" i="2"/>
  <c r="C21" i="2"/>
  <c r="F25" i="2"/>
  <c r="F22" i="2"/>
  <c r="G25" i="2"/>
  <c r="C24" i="2"/>
  <c r="D21" i="2"/>
  <c r="G22" i="2"/>
  <c r="C26" i="2"/>
  <c r="E22" i="2"/>
  <c r="B21" i="2"/>
  <c r="C23" i="2"/>
  <c r="D26" i="2"/>
  <c r="B26" i="2"/>
  <c r="D23" i="2"/>
  <c r="E26" i="2"/>
  <c r="B25" i="2"/>
  <c r="E23" i="2"/>
  <c r="F26" i="2"/>
  <c r="B24" i="2"/>
  <c r="F23" i="2"/>
  <c r="B43" i="2" a="1"/>
  <c r="B43" i="2" s="1"/>
  <c r="B56" i="2" s="1"/>
  <c r="B13" i="2"/>
  <c r="E12" i="2"/>
  <c r="E10" i="2"/>
  <c r="D9" i="2"/>
  <c r="B9" i="2"/>
  <c r="G11" i="2"/>
  <c r="D11" i="2"/>
  <c r="F8" i="2"/>
  <c r="F12" i="2"/>
  <c r="G8" i="2"/>
  <c r="G13" i="2"/>
  <c r="C11" i="2"/>
  <c r="E8" i="2"/>
  <c r="G12" i="2"/>
  <c r="D12" i="2"/>
  <c r="C12" i="2"/>
  <c r="F13" i="2"/>
  <c r="B11" i="2"/>
  <c r="D8" i="2"/>
  <c r="F11" i="2"/>
  <c r="E11" i="2"/>
  <c r="E13" i="2"/>
  <c r="G10" i="2"/>
  <c r="C8" i="2"/>
  <c r="C13" i="2"/>
  <c r="D10" i="2"/>
  <c r="C10" i="2"/>
  <c r="B10" i="2"/>
  <c r="G9" i="2"/>
  <c r="F9" i="2"/>
  <c r="E9" i="2"/>
  <c r="B12" i="2"/>
  <c r="C9" i="2"/>
  <c r="D13" i="2"/>
  <c r="F10" i="2"/>
  <c r="B3" i="3"/>
  <c r="C8" i="3"/>
  <c r="B6" i="3"/>
  <c r="G48" i="2" l="1"/>
  <c r="G61" i="2" s="1"/>
  <c r="D47" i="2"/>
  <c r="D60" i="2" s="1"/>
  <c r="C46" i="2"/>
  <c r="C59" i="2" s="1"/>
  <c r="C45" i="2"/>
  <c r="C58" i="2" s="1"/>
  <c r="F43" i="2"/>
  <c r="F56" i="2" s="1"/>
  <c r="B45" i="2"/>
  <c r="B58" i="2" s="1"/>
  <c r="D46" i="2"/>
  <c r="D59" i="2" s="1"/>
  <c r="F47" i="2"/>
  <c r="F60" i="2" s="1"/>
  <c r="E46" i="2"/>
  <c r="E59" i="2" s="1"/>
  <c r="E47" i="2"/>
  <c r="E60" i="2" s="1"/>
  <c r="F48" i="2"/>
  <c r="F61" i="2" s="1"/>
  <c r="G43" i="2"/>
  <c r="G56" i="2" s="1"/>
  <c r="B44" i="2"/>
  <c r="B57" i="2" s="1"/>
  <c r="G44" i="2"/>
  <c r="G57" i="2" s="1"/>
  <c r="C44" i="2"/>
  <c r="C57" i="2" s="1"/>
  <c r="B47" i="2"/>
  <c r="B60" i="2" s="1"/>
  <c r="F44" i="2"/>
  <c r="F57" i="2" s="1"/>
  <c r="F45" i="2"/>
  <c r="F58" i="2" s="1"/>
  <c r="D43" i="2"/>
  <c r="D56" i="2" s="1"/>
  <c r="B48" i="2"/>
  <c r="B61" i="2" s="1"/>
  <c r="D48" i="2"/>
  <c r="D61" i="2" s="1"/>
  <c r="G46" i="2"/>
  <c r="G59" i="2" s="1"/>
  <c r="E44" i="2"/>
  <c r="E57" i="2" s="1"/>
  <c r="C43" i="2"/>
  <c r="C56" i="2" s="1"/>
  <c r="F46" i="2"/>
  <c r="F59" i="2" s="1"/>
  <c r="C47" i="2"/>
  <c r="C60" i="2" s="1"/>
  <c r="G47" i="2"/>
  <c r="G60" i="2" s="1"/>
  <c r="C48" i="2"/>
  <c r="C61" i="2" s="1"/>
  <c r="G45" i="2"/>
  <c r="G58" i="2" s="1"/>
  <c r="B46" i="2"/>
  <c r="B59" i="2" s="1"/>
  <c r="E48" i="2"/>
  <c r="E61" i="2" s="1"/>
  <c r="D45" i="2"/>
  <c r="D58" i="2" s="1"/>
  <c r="D44" i="2"/>
  <c r="D57" i="2" s="1"/>
  <c r="E43" i="2"/>
  <c r="E56" i="2" s="1"/>
  <c r="E45" i="2"/>
  <c r="E58" i="2" s="1"/>
  <c r="B4" i="3"/>
  <c r="B5" i="3"/>
  <c r="C4" i="3"/>
  <c r="C7" i="3"/>
  <c r="C3" i="3"/>
  <c r="C6" i="3"/>
  <c r="D6" i="3" s="1"/>
  <c r="B7" i="3"/>
  <c r="B8" i="3"/>
  <c r="D8" i="3" s="1"/>
  <c r="C5" i="3"/>
  <c r="D4" i="3" l="1"/>
  <c r="D5" i="3"/>
  <c r="D7" i="3"/>
  <c r="D3" i="3"/>
  <c r="Q6" i="3" l="1"/>
  <c r="M4" i="3"/>
  <c r="P4" i="3"/>
  <c r="Q7" i="3"/>
  <c r="M5" i="3"/>
  <c r="N8" i="3"/>
  <c r="P5" i="3"/>
  <c r="Q8" i="3"/>
  <c r="P6" i="3"/>
  <c r="M7" i="3"/>
  <c r="P7" i="3"/>
  <c r="M8" i="3"/>
  <c r="Q3" i="3"/>
  <c r="N4" i="3"/>
  <c r="Q4" i="3"/>
  <c r="Q5" i="3"/>
  <c r="O3" i="3" l="1"/>
  <c r="M3" i="3"/>
  <c r="P8" i="3"/>
  <c r="L3" i="3"/>
  <c r="P3" i="3"/>
  <c r="O8" i="3"/>
  <c r="O7" i="3"/>
  <c r="O6" i="3"/>
  <c r="O5" i="3"/>
  <c r="O4" i="3"/>
  <c r="N7" i="3"/>
  <c r="N6" i="3"/>
  <c r="N5" i="3"/>
  <c r="N3" i="3"/>
  <c r="M6" i="3"/>
  <c r="L8" i="3"/>
  <c r="L5" i="3" l="1"/>
  <c r="L6" i="3"/>
  <c r="L7" i="3"/>
  <c r="H14" i="3" s="1" a="1"/>
  <c r="H14" i="3" s="1"/>
  <c r="H15" i="3" s="1"/>
  <c r="H16" i="3" s="1"/>
  <c r="L4" i="3"/>
  <c r="F14" i="3" s="1" a="1"/>
  <c r="F14" i="3" s="1"/>
  <c r="F15" i="3" s="1"/>
  <c r="F16" i="3" s="1"/>
  <c r="G12" i="3"/>
  <c r="G14" i="3" a="1"/>
  <c r="G14" i="3" s="1"/>
  <c r="G15" i="3" s="1"/>
  <c r="G13" i="3" a="1"/>
  <c r="G13" i="3" s="1"/>
  <c r="G16"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<sst xmlns="http://schemas.openxmlformats.org/spreadsheetml/2006/main" count="196" uniqueCount="60">
  <si>
    <t xml:space="preserve"> </t>
  </si>
  <si>
    <t>Prices, Adjusted Close</t>
  </si>
  <si>
    <t>DATE</t>
  </si>
  <si>
    <t>Returns</t>
  </si>
  <si>
    <t>Mean</t>
  </si>
  <si>
    <t>Excess Returns</t>
  </si>
  <si>
    <t>Variance</t>
  </si>
  <si>
    <t>Standard deviation</t>
  </si>
  <si>
    <t>Count</t>
  </si>
  <si>
    <t>Excess Returns Squared</t>
  </si>
  <si>
    <r>
      <t xml:space="preserve">Variance-Covariance Matrix, </t>
    </r>
    <r>
      <rPr>
        <b/>
        <sz val="11"/>
        <color theme="1"/>
        <rFont val="Calibri"/>
        <family val="2"/>
      </rPr>
      <t>∑</t>
    </r>
  </si>
  <si>
    <r>
      <t xml:space="preserve"> X</t>
    </r>
    <r>
      <rPr>
        <b/>
        <vertAlign val="superscript"/>
        <sz val="14"/>
        <color theme="1"/>
        <rFont val="Calibri"/>
        <family val="2"/>
        <scheme val="minor"/>
      </rPr>
      <t>T</t>
    </r>
    <r>
      <rPr>
        <b/>
        <sz val="14"/>
        <color theme="1"/>
        <rFont val="Calibri"/>
        <family val="2"/>
        <scheme val="minor"/>
      </rPr>
      <t>X</t>
    </r>
  </si>
  <si>
    <t>Make a KxK matrix</t>
  </si>
  <si>
    <r>
      <t xml:space="preserve"> X</t>
    </r>
    <r>
      <rPr>
        <b/>
        <vertAlign val="superscript"/>
        <sz val="14"/>
        <color theme="1"/>
        <rFont val="Calibri"/>
        <family val="2"/>
        <scheme val="minor"/>
      </rPr>
      <t>T</t>
    </r>
    <r>
      <rPr>
        <b/>
        <sz val="14"/>
        <color theme="1"/>
        <rFont val="Calibri"/>
        <family val="2"/>
        <scheme val="minor"/>
      </rPr>
      <t>X / N</t>
    </r>
  </si>
  <si>
    <t>Matrix D</t>
  </si>
  <si>
    <t>Individual standard deviations</t>
  </si>
  <si>
    <t>d</t>
  </si>
  <si>
    <t xml:space="preserve">Multiply d by dT </t>
  </si>
  <si>
    <t>C, Correlation Matrix</t>
  </si>
  <si>
    <r>
      <t xml:space="preserve">Divide </t>
    </r>
    <r>
      <rPr>
        <b/>
        <sz val="11"/>
        <color theme="1"/>
        <rFont val="Calibri"/>
        <family val="2"/>
      </rPr>
      <t>∑ by D</t>
    </r>
  </si>
  <si>
    <t>---------------------Portfolios--------------------</t>
  </si>
  <si>
    <t>Variance-Covariance Matrix</t>
  </si>
  <si>
    <t>μ</t>
  </si>
  <si>
    <t>σ</t>
  </si>
  <si>
    <t>Equal weight</t>
  </si>
  <si>
    <t>Constraint variable</t>
  </si>
  <si>
    <t>n/a</t>
  </si>
  <si>
    <t>σ&lt;=</t>
  </si>
  <si>
    <t>Value</t>
  </si>
  <si>
    <t>-------------------Weights-------------------</t>
  </si>
  <si>
    <t>Sum of weights</t>
  </si>
  <si>
    <r>
      <rPr>
        <sz val="11"/>
        <color theme="1"/>
        <rFont val="Calibri"/>
        <family val="2"/>
      </rPr>
      <t>σ</t>
    </r>
    <r>
      <rPr>
        <vertAlign val="superscript"/>
        <sz val="11"/>
        <color theme="1"/>
        <rFont val="Calibri"/>
        <family val="2"/>
      </rPr>
      <t>2</t>
    </r>
  </si>
  <si>
    <t>mean/σ</t>
  </si>
  <si>
    <t>see below starting in line 41</t>
  </si>
  <si>
    <t>μ/σ</t>
  </si>
  <si>
    <t>μ &gt;=</t>
  </si>
  <si>
    <t>LOW</t>
  </si>
  <si>
    <t>KO</t>
  </si>
  <si>
    <t>WEN</t>
  </si>
  <si>
    <t>BAC</t>
  </si>
  <si>
    <t>AAPL</t>
  </si>
  <si>
    <t>Name</t>
  </si>
  <si>
    <t>--------------Individual Stocks--------------</t>
  </si>
  <si>
    <t>LNN</t>
  </si>
  <si>
    <t>Example: Mine is jgarner47</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</si>
  <si>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</si>
  <si>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Date</t>
  </si>
  <si>
    <t>Time</t>
  </si>
  <si>
    <t>Computer Name</t>
  </si>
  <si>
    <t>User</t>
  </si>
  <si>
    <t>jacqu</t>
  </si>
  <si>
    <t>DESKTOP-6E4S8K3</t>
  </si>
  <si>
    <t xml:space="preserve">Objective: </t>
  </si>
  <si>
    <r>
      <t xml:space="preserve">Max </t>
    </r>
    <r>
      <rPr>
        <b/>
        <sz val="11"/>
        <color theme="1"/>
        <rFont val="Calibri"/>
        <family val="2"/>
      </rPr>
      <t>μ</t>
    </r>
  </si>
  <si>
    <r>
      <t xml:space="preserve">Min </t>
    </r>
    <r>
      <rPr>
        <b/>
        <sz val="11"/>
        <color theme="1"/>
        <rFont val="Calibri"/>
        <family val="2"/>
      </rPr>
      <t>σ</t>
    </r>
  </si>
  <si>
    <t xml:space="preserve">Login ID </t>
  </si>
  <si>
    <t>jgarner47</t>
  </si>
  <si>
    <t>COB-GARJ-NW3088</t>
  </si>
  <si>
    <t>Vo</t>
  </si>
  <si>
    <t>dvo41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</si>
</sst>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409]mmmm\-yy;@"/>
    <numFmt numFmtId="165" formatCode="0.0%"/>
    <numFmt numFmtId="166" formatCode="0.0000%"/>
    <numFmt numFmtId="167" formatCode="0.000%"/>
    <numFmt numFmtId="168" formatCode="0.0000"/>
    <numFmt numFmtId="169" formatCode="0.0000000"/>
    <numFmt numFmtId="170" formatCode="[$-409]mmm\-yy;@"/>
    <numFmt numFmtId="171" formatCode="0.00000%"/>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
      <b/>
      <sz val="11"/>
      <color theme="1"/>
      <name val="Calibri"/>
      <family val="2"/>
    </font>
    <font>
      <b/>
      <sz val="14"/>
      <color theme="1"/>
      <name val="Calibri"/>
      <family val="2"/>
      <scheme val="minor"/>
    </font>
    <font>
      <b/>
      <vertAlign val="superscript"/>
      <sz val="14"/>
      <color theme="1"/>
      <name val="Calibri"/>
      <family val="2"/>
      <scheme val="minor"/>
    </font>
    <font>
      <sz val="11"/>
      <color theme="1"/>
      <name val="Calibri"/>
      <family val="2"/>
    </font>
    <font>
      <vertAlign val="superscript"/>
      <sz val="11"/>
      <color theme="1"/>
      <name val="Calibri"/>
      <family val="2"/>
    </font>
    <font>
      <b/>
      <sz val="12"/>
      <color theme="1"/>
      <name val="Calibri"/>
      <family val="2"/>
    </font>
    <font>
      <sz val="12"/>
      <color rgb="FF222222"/>
      <name val="Arial"/>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3" tint="0.7999816888943144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8">
    <xf numFmtId="0" fontId="0" fillId="0" borderId="0" xfId="0"/>
    <xf numFmtId="164" fontId="0" fillId="0" borderId="0" xfId="0" applyNumberFormat="1"/>
    <xf numFmtId="165" fontId="0" fillId="0" borderId="0" xfId="1" applyNumberFormat="1" applyFont="1"/>
    <xf numFmtId="165" fontId="0" fillId="0" borderId="0" xfId="0" applyNumberFormat="1"/>
    <xf numFmtId="0" fontId="0" fillId="0" borderId="14" xfId="0" applyBorder="1"/>
    <xf numFmtId="0" fontId="0" fillId="0" borderId="14" xfId="0" applyBorder="1" applyAlignment="1">
      <alignment wrapText="1"/>
    </xf>
    <xf numFmtId="0" fontId="20" fillId="0" borderId="0" xfId="0" applyFont="1"/>
    <xf numFmtId="0" fontId="16" fillId="0" borderId="0" xfId="0" applyFont="1"/>
    <xf numFmtId="0" fontId="0" fillId="0" borderId="15" xfId="0" applyBorder="1"/>
    <xf numFmtId="0" fontId="0" fillId="0" borderId="20" xfId="0" applyBorder="1"/>
    <xf numFmtId="0" fontId="22" fillId="0" borderId="14" xfId="0" applyFont="1" applyBorder="1" applyAlignment="1">
      <alignment horizontal="right"/>
    </xf>
    <xf numFmtId="0" fontId="22" fillId="0" borderId="14" xfId="0" applyFont="1" applyBorder="1" applyAlignment="1">
      <alignment wrapText="1"/>
    </xf>
    <xf numFmtId="0" fontId="22" fillId="0" borderId="14" xfId="0" applyFont="1" applyBorder="1"/>
    <xf numFmtId="168" fontId="0" fillId="0" borderId="14" xfId="1" applyNumberFormat="1" applyFont="1" applyFill="1" applyBorder="1"/>
    <xf numFmtId="0" fontId="18" fillId="35" borderId="15" xfId="0" applyFont="1" applyFill="1" applyBorder="1" applyAlignment="1">
      <alignment wrapText="1"/>
    </xf>
    <xf numFmtId="0" fontId="18" fillId="35" borderId="16" xfId="0" applyFont="1" applyFill="1" applyBorder="1" applyAlignment="1">
      <alignment horizontal="right" wrapText="1"/>
    </xf>
    <xf numFmtId="0" fontId="16" fillId="35" borderId="16" xfId="0" applyFont="1" applyFill="1" applyBorder="1"/>
    <xf numFmtId="0" fontId="16" fillId="35" borderId="17" xfId="0" applyFont="1" applyFill="1" applyBorder="1"/>
    <xf numFmtId="0" fontId="18" fillId="35" borderId="10" xfId="0" applyFont="1" applyFill="1" applyBorder="1" applyAlignment="1">
      <alignment horizontal="right" wrapText="1"/>
    </xf>
    <xf numFmtId="0" fontId="18" fillId="35" borderId="11" xfId="0" applyFont="1" applyFill="1" applyBorder="1" applyAlignment="1">
      <alignment horizontal="right" wrapText="1"/>
    </xf>
    <xf numFmtId="0" fontId="16" fillId="35" borderId="11" xfId="0" applyFont="1" applyFill="1" applyBorder="1"/>
    <xf numFmtId="0" fontId="16" fillId="35" borderId="10" xfId="0" applyFont="1" applyFill="1" applyBorder="1"/>
    <xf numFmtId="0" fontId="18" fillId="35" borderId="12" xfId="0" applyFont="1" applyFill="1" applyBorder="1" applyAlignment="1">
      <alignment horizontal="right" wrapText="1"/>
    </xf>
    <xf numFmtId="0" fontId="18" fillId="35" borderId="18" xfId="0" applyFont="1" applyFill="1" applyBorder="1" applyAlignment="1">
      <alignment horizontal="right" wrapText="1"/>
    </xf>
    <xf numFmtId="0" fontId="16" fillId="35" borderId="13" xfId="0" applyFont="1" applyFill="1" applyBorder="1"/>
    <xf numFmtId="0" fontId="16" fillId="35" borderId="10" xfId="0" applyFont="1" applyFill="1" applyBorder="1" applyAlignment="1">
      <alignment wrapText="1"/>
    </xf>
    <xf numFmtId="166" fontId="0" fillId="33" borderId="14" xfId="1" applyNumberFormat="1" applyFont="1" applyFill="1" applyBorder="1"/>
    <xf numFmtId="0" fontId="0" fillId="33" borderId="0" xfId="0" applyFill="1"/>
    <xf numFmtId="165" fontId="0" fillId="33" borderId="0" xfId="1" applyNumberFormat="1" applyFont="1" applyFill="1"/>
    <xf numFmtId="165" fontId="0" fillId="33" borderId="0" xfId="0" applyNumberFormat="1" applyFill="1"/>
    <xf numFmtId="0" fontId="0" fillId="0" borderId="10" xfId="0" applyBorder="1"/>
    <xf numFmtId="0" fontId="0" fillId="0" borderId="11" xfId="0" applyBorder="1"/>
    <xf numFmtId="0" fontId="0" fillId="0" borderId="12" xfId="0" applyBorder="1"/>
    <xf numFmtId="0" fontId="0" fillId="0" borderId="10" xfId="0" applyBorder="1" applyAlignment="1">
      <alignment wrapText="1"/>
    </xf>
    <xf numFmtId="0" fontId="16" fillId="0" borderId="17" xfId="0" applyFont="1" applyBorder="1" applyAlignment="1">
      <alignment horizontal="right"/>
    </xf>
    <xf numFmtId="0" fontId="16" fillId="0" borderId="11" xfId="0" applyFont="1" applyBorder="1"/>
    <xf numFmtId="0" fontId="0" fillId="33" borderId="14" xfId="0" applyFill="1" applyBorder="1"/>
    <xf numFmtId="0" fontId="16" fillId="33" borderId="14" xfId="0" applyFont="1" applyFill="1" applyBorder="1"/>
    <xf numFmtId="166" fontId="0" fillId="33" borderId="14" xfId="0" applyNumberFormat="1" applyFill="1" applyBorder="1"/>
    <xf numFmtId="10" fontId="0" fillId="33" borderId="14" xfId="0" applyNumberFormat="1" applyFill="1" applyBorder="1"/>
    <xf numFmtId="10" fontId="0" fillId="33" borderId="14" xfId="1" applyNumberFormat="1" applyFont="1" applyFill="1" applyBorder="1"/>
    <xf numFmtId="167" fontId="0" fillId="33" borderId="14" xfId="1" applyNumberFormat="1" applyFont="1" applyFill="1" applyBorder="1"/>
    <xf numFmtId="2" fontId="0" fillId="33" borderId="14" xfId="0" applyNumberFormat="1" applyFill="1" applyBorder="1"/>
    <xf numFmtId="0" fontId="0" fillId="35" borderId="15" xfId="0" applyFill="1" applyBorder="1"/>
    <xf numFmtId="169" fontId="0" fillId="33" borderId="14" xfId="0" applyNumberFormat="1" applyFill="1" applyBorder="1"/>
    <xf numFmtId="0" fontId="16" fillId="0" borderId="0" xfId="0" applyFont="1" applyAlignment="1">
      <alignment horizontal="center"/>
    </xf>
    <xf numFmtId="10" fontId="0" fillId="37" borderId="14" xfId="1" applyNumberFormat="1" applyFont="1" applyFill="1" applyBorder="1"/>
    <xf numFmtId="0" fontId="16" fillId="0" borderId="14" xfId="0" applyFont="1" applyBorder="1"/>
    <xf numFmtId="0" fontId="0" fillId="0" borderId="24" xfId="0" applyBorder="1"/>
    <xf numFmtId="0" fontId="16" fillId="0" borderId="24" xfId="0" applyFont="1" applyBorder="1"/>
    <xf numFmtId="0" fontId="16" fillId="38" borderId="11" xfId="0" applyFont="1" applyFill="1" applyBorder="1"/>
    <xf numFmtId="0" fontId="16" fillId="38" borderId="12" xfId="0" applyFont="1" applyFill="1" applyBorder="1"/>
    <xf numFmtId="0" fontId="0" fillId="38" borderId="0" xfId="0" applyFill="1"/>
    <xf numFmtId="2" fontId="0" fillId="37" borderId="14" xfId="0" applyNumberFormat="1" applyFill="1" applyBorder="1"/>
    <xf numFmtId="0" fontId="24" fillId="0" borderId="14" xfId="0" applyFont="1" applyBorder="1" applyAlignment="1">
      <alignment horizontal="right"/>
    </xf>
    <xf numFmtId="0" fontId="19" fillId="0" borderId="14" xfId="0" applyFont="1" applyBorder="1" applyAlignment="1">
      <alignment horizontal="right"/>
    </xf>
    <xf numFmtId="0" fontId="16" fillId="38" borderId="10" xfId="0" quotePrefix="1" applyFont="1" applyFill="1" applyBorder="1" applyAlignment="1">
      <alignment horizontal="left"/>
    </xf>
    <xf numFmtId="166" fontId="0" fillId="0" borderId="0" xfId="1" applyNumberFormat="1" applyFont="1"/>
    <xf numFmtId="170" fontId="0" fillId="0" borderId="0" xfId="0" applyNumberFormat="1"/>
    <xf numFmtId="0" fontId="16" fillId="39" borderId="10" xfId="0" applyFont="1" applyFill="1" applyBorder="1"/>
    <xf numFmtId="0" fontId="0" fillId="39" borderId="11" xfId="0" applyFill="1" applyBorder="1"/>
    <xf numFmtId="0" fontId="18" fillId="39" borderId="11" xfId="0" applyFont="1" applyFill="1" applyBorder="1" applyAlignment="1">
      <alignment horizontal="right" wrapText="1"/>
    </xf>
    <xf numFmtId="0" fontId="16" fillId="39" borderId="11" xfId="0" applyFont="1" applyFill="1" applyBorder="1"/>
    <xf numFmtId="0" fontId="18" fillId="39" borderId="12" xfId="0" applyFont="1" applyFill="1" applyBorder="1" applyAlignment="1">
      <alignment horizontal="right" wrapText="1"/>
    </xf>
    <xf numFmtId="171" fontId="0" fillId="0" borderId="0" xfId="1" applyNumberFormat="1" applyFont="1"/>
    <xf numFmtId="0" fontId="25" fillId="0" borderId="0" xfId="0" applyFont="1" applyAlignment="1">
      <alignment vertical="top" wrapText="1"/>
    </xf>
    <xf numFmtId="14" fontId="0" fillId="0" borderId="0" xfId="0" applyNumberFormat="1"/>
    <xf numFmtId="19" fontId="0" fillId="0" borderId="0" xfId="0" applyNumberFormat="1"/>
    <xf numFmtId="0" fontId="16" fillId="0" borderId="24" xfId="0" applyFont="1" applyBorder="1" applyAlignment="1">
      <alignment wrapText="1"/>
    </xf>
    <xf numFmtId="0" fontId="16" fillId="0" borderId="14" xfId="0" applyFont="1" applyBorder="1" applyAlignment="1">
      <alignment wrapText="1"/>
    </xf>
    <xf numFmtId="0" fontId="0" fillId="36" borderId="14" xfId="0" applyFill="1" applyBorder="1"/>
    <xf numFmtId="0" fontId="16" fillId="0" borderId="10"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0" fillId="34" borderId="19" xfId="0" applyFill="1" applyBorder="1" applyAlignment="1">
      <alignment horizontal="center"/>
    </xf>
    <xf numFmtId="0" fontId="18" fillId="34" borderId="21" xfId="0" quotePrefix="1" applyFont="1" applyFill="1" applyBorder="1" applyAlignment="1">
      <alignment horizontal="center"/>
    </xf>
    <xf numFmtId="0" fontId="18" fillId="34" borderId="22" xfId="0" quotePrefix="1" applyFont="1" applyFill="1" applyBorder="1" applyAlignment="1">
      <alignment horizontal="center"/>
    </xf>
    <xf numFmtId="0" fontId="0" fillId="0" borderId="23" xfId="0" quotePrefix="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58D7DF0-632F-4D7A-94A6-36AAF07AFD7F}">
  <we:reference id="1e10eb66-9ba2-46e3-84ee-57e2a49831f0" version="3.0.0.1" store="EXCatalog" storeType="EXCatalog"/>
  <we:alternateReferences>
    <we:reference id="WA104100404" version="3.0.0.1" store="en-US" storeType="OMEX"/>
  </we:alternateReferences>
  <we:properties>
    <we:property name="LSEo" value="&quot;&quot;"/>
    <we:property name="UniqueID" value="&quot;20219171634501629147&quot;"/>
    <we:property name="MiwwRgU6XBkOYycILA5dHRgiNlsMOxE/Ayk=" value="&quot;RgtmA1Y=&quot;"/>
    <we:property name="MiwwRgU6XBkOYycILA5dHRgiNlsMOxEDDi8eHSo4VRoF" value="&quot;JREF&quot;"/>
    <we:property name="MiwwRgU6XBkOYycILA5dHRgiNlsMOxE9ADslETY=" value="&quot;UA==&quot;"/>
  </we:properties>
  <we:bindings>
    <we:binding id="refEdit" type="matrix" appref="{74FFFCDF-B122-42F4-B402-C702EF2355B4}"/>
    <we:binding id="Worker" type="matrix" appref="{4085A85C-A07C-4FD9-BFB9-22135FB55F67}"/>
    <we:binding id="Obj" type="matrix" appref="{0E22B34C-5D88-4A8B-B293-782BBF4D5EDF}"/>
  </we:bindings>
  <we:snapshot xmlns:r="http://schemas.openxmlformats.org/officeDocument/2006/relationships"/>
</we:webextension>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A1498-CEC7-44D6-AEB4-FEE33309523B}">
  <sheetPr codeName="Sheet1"/>
  <dimension ref="A1"/>
  <sheetViews>
    <sheetView showGridLines="0" workbookViewId="0">
      <selection activeCell="O14" sqref="O14"/>
    </sheetView>
  </sheetViews>
  <sheetFormatPr defaultRowHeight="14.25" x14ac:dyDescent="0.45"/>
  <cols>
    <col min="1" max="1" width="90.06640625" customWidth="1"/>
  </cols>
  <sheetData>
    <row r="1" spans="1:1" ht="60" x14ac:dyDescent="0.45">
      <c r="A1" s="65" t="s">
        <v>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E09D8-019F-40C2-9856-3BA128EBC756}">
  <sheetPr codeName="Sheet2"/>
  <dimension ref="A1:C2"/>
  <sheetViews>
    <sheetView workbookViewId="0">
      <selection activeCell="B2" sqref="B2"/>
    </sheetView>
  </sheetViews>
  <sheetFormatPr defaultColWidth="8.796875" defaultRowHeight="14.25" x14ac:dyDescent="0.45"/>
  <cols>
    <col min="1" max="1" width="25.06640625" customWidth="1"/>
    <col min="2" max="2" width="17.06640625" customWidth="1"/>
  </cols>
  <sheetData>
    <row r="1" spans="1:3" x14ac:dyDescent="0.45">
      <c r="A1" t="s">
        <v>41</v>
      </c>
      <c r="B1" s="70" t="s">
        <v>58</v>
      </c>
    </row>
    <row r="2" spans="1:3" x14ac:dyDescent="0.45">
      <c r="A2" t="s">
        <v>55</v>
      </c>
      <c r="B2" s="70" t="s">
        <v>59</v>
      </c>
      <c r="C2" t="s">
        <v>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93B6C-4C8F-42CB-A1A4-4CDFEE11007E}">
  <sheetPr codeName="Sheet6"/>
  <dimension ref="A1:D12"/>
  <sheetViews>
    <sheetView workbookViewId="0">
      <selection activeCell="G10" sqref="G10"/>
    </sheetView>
  </sheetViews>
  <sheetFormatPr defaultRowHeight="14.25" x14ac:dyDescent="0.45"/>
  <cols>
    <col min="1" max="1" width="9.73046875" bestFit="1" customWidth="1"/>
    <col min="2" max="2" width="10.59765625" bestFit="1" customWidth="1"/>
    <col min="3" max="3" width="12" bestFit="1" customWidth="1"/>
    <col min="4" max="4" width="17.33203125" bestFit="1" customWidth="1"/>
  </cols>
  <sheetData>
    <row r="1" spans="1:4" x14ac:dyDescent="0.45">
      <c r="A1" t="s">
        <v>46</v>
      </c>
      <c r="B1" t="s">
        <v>47</v>
      </c>
      <c r="C1" t="s">
        <v>49</v>
      </c>
      <c r="D1" t="s">
        <v>48</v>
      </c>
    </row>
    <row r="2" spans="1:4" x14ac:dyDescent="0.45">
      <c r="A2" s="66">
        <v>44486</v>
      </c>
      <c r="B2" s="67">
        <v>0.67305555555555552</v>
      </c>
      <c r="C2" t="s">
        <v>50</v>
      </c>
      <c r="D2" t="s">
        <v>51</v>
      </c>
    </row>
    <row r="3" spans="1:4" x14ac:dyDescent="0.45">
      <c r="A3" s="66">
        <v>44646</v>
      </c>
      <c r="B3" s="67">
        <v>0.66879629629629633</v>
      </c>
      <c r="C3" t="s">
        <v>50</v>
      </c>
      <c r="D3" t="s">
        <v>51</v>
      </c>
    </row>
    <row r="4" spans="1:4" x14ac:dyDescent="0.45">
      <c r="A4" s="66">
        <v>44731</v>
      </c>
      <c r="B4" s="67">
        <v>0.60890046296296296</v>
      </c>
      <c r="C4" t="s">
        <v>50</v>
      </c>
      <c r="D4" t="s">
        <v>51</v>
      </c>
    </row>
    <row r="5" spans="1:4" x14ac:dyDescent="0.45">
      <c r="A5" s="66">
        <v>44872</v>
      </c>
      <c r="B5" s="67">
        <v>0.36807870370370371</v>
      </c>
      <c r="C5" t="s">
        <v>56</v>
      </c>
      <c r="D5" t="s">
        <v>57</v>
      </c>
    </row>
    <row r="6" spans="1:4" x14ac:dyDescent="0.45">
      <c r="A6" s="66">
        <v>45018</v>
      </c>
      <c r="B6" s="67">
        <v>0.91993055555555558</v>
      </c>
      <c r="C6" t="s">
        <v>50</v>
      </c>
      <c r="D6" t="s">
        <v>51</v>
      </c>
    </row>
    <row r="7" spans="1:4" x14ac:dyDescent="0.45">
      <c r="A7" s="66">
        <v>45109</v>
      </c>
      <c r="B7" s="67">
        <v>0.62813657407407408</v>
      </c>
      <c r="C7" t="s">
        <v>50</v>
      </c>
      <c r="D7" t="s">
        <v>51</v>
      </c>
    </row>
    <row r="8" spans="1:4" x14ac:dyDescent="0.45">
      <c r="A8" s="66"/>
      <c r="B8" s="67"/>
    </row>
    <row r="9" spans="1:4" x14ac:dyDescent="0.45">
      <c r="A9" s="66"/>
      <c r="B9" s="67"/>
    </row>
    <row r="10" spans="1:4" x14ac:dyDescent="0.45">
      <c r="A10" s="66"/>
      <c r="B10" s="67"/>
    </row>
    <row r="11" spans="1:4" x14ac:dyDescent="0.45">
      <c r="A11" s="66"/>
      <c r="B11" s="67"/>
    </row>
    <row r="12" spans="1:4" x14ac:dyDescent="0.45">
      <c r="A12" s="66"/>
      <c r="B12" s="6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67"/>
  <sheetViews>
    <sheetView topLeftCell="A121" zoomScale="85" zoomScaleNormal="85" workbookViewId="0">
      <selection activeCell="B80" sqref="B80"/>
    </sheetView>
  </sheetViews>
  <sheetFormatPr defaultColWidth="8.796875" defaultRowHeight="14.25" x14ac:dyDescent="0.45"/>
  <cols>
    <col min="1" max="1" width="16.796875" customWidth="1"/>
  </cols>
  <sheetData>
    <row r="1" spans="1:9" ht="28.9" thickBot="1" x14ac:dyDescent="0.5">
      <c r="A1" s="14" t="s">
        <v>1</v>
      </c>
      <c r="B1" s="15"/>
      <c r="C1" s="15"/>
      <c r="D1" s="15"/>
      <c r="E1" s="15"/>
      <c r="F1" s="16"/>
      <c r="G1" s="17"/>
    </row>
    <row r="2" spans="1:9" ht="14.65" thickBot="1" x14ac:dyDescent="0.5">
      <c r="A2" s="18" t="s">
        <v>2</v>
      </c>
      <c r="B2" t="s">
        <v>36</v>
      </c>
      <c r="C2" t="s">
        <v>37</v>
      </c>
      <c r="D2" t="s">
        <v>38</v>
      </c>
      <c r="E2" t="s">
        <v>39</v>
      </c>
      <c r="F2" t="s">
        <v>40</v>
      </c>
      <c r="G2" t="s">
        <v>43</v>
      </c>
    </row>
    <row r="3" spans="1:9" x14ac:dyDescent="0.45">
      <c r="A3" s="58">
        <v>43800</v>
      </c>
      <c r="B3">
        <v>113.31281300000001</v>
      </c>
      <c r="C3">
        <v>50.008426999999998</v>
      </c>
      <c r="D3">
        <v>20.72241</v>
      </c>
      <c r="E3">
        <v>32.497188999999999</v>
      </c>
      <c r="F3">
        <v>71.810920999999993</v>
      </c>
      <c r="G3">
        <v>92.982010000000002</v>
      </c>
      <c r="I3" t="s">
        <v>33</v>
      </c>
    </row>
    <row r="4" spans="1:9" x14ac:dyDescent="0.45">
      <c r="A4" s="58">
        <v>43831</v>
      </c>
      <c r="B4">
        <v>109.982315</v>
      </c>
      <c r="C4">
        <v>52.764094999999998</v>
      </c>
      <c r="D4">
        <v>20.218582000000001</v>
      </c>
      <c r="E4">
        <v>30.457336000000002</v>
      </c>
      <c r="F4">
        <v>75.689430000000002</v>
      </c>
      <c r="G4">
        <v>96.895415999999997</v>
      </c>
    </row>
    <row r="5" spans="1:9" x14ac:dyDescent="0.45">
      <c r="A5" s="58">
        <v>43862</v>
      </c>
      <c r="B5">
        <v>101.288162</v>
      </c>
      <c r="C5">
        <v>48.327927000000003</v>
      </c>
      <c r="D5">
        <v>17.615449999999999</v>
      </c>
      <c r="E5">
        <v>26.440269000000001</v>
      </c>
      <c r="F5">
        <v>66.849091000000001</v>
      </c>
      <c r="G5">
        <v>95.926734999999994</v>
      </c>
    </row>
    <row r="6" spans="1:9" x14ac:dyDescent="0.45">
      <c r="A6" s="58">
        <v>43891</v>
      </c>
      <c r="B6">
        <v>81.785178999999999</v>
      </c>
      <c r="C6">
        <v>39.979641000000001</v>
      </c>
      <c r="D6">
        <v>13.966831000000001</v>
      </c>
      <c r="E6">
        <v>19.695684</v>
      </c>
      <c r="F6">
        <v>62.333182999999998</v>
      </c>
      <c r="G6">
        <v>88.962242000000003</v>
      </c>
    </row>
    <row r="7" spans="1:9" x14ac:dyDescent="0.45">
      <c r="A7" s="58">
        <v>43922</v>
      </c>
      <c r="B7">
        <v>99.558372000000006</v>
      </c>
      <c r="C7">
        <v>41.824989000000002</v>
      </c>
      <c r="D7">
        <v>18.641216</v>
      </c>
      <c r="E7">
        <v>22.454243000000002</v>
      </c>
      <c r="F7">
        <v>72.018127000000007</v>
      </c>
      <c r="G7">
        <v>87.427413999999999</v>
      </c>
    </row>
    <row r="8" spans="1:9" x14ac:dyDescent="0.45">
      <c r="A8" s="58">
        <v>43952</v>
      </c>
      <c r="B8">
        <v>124.610023</v>
      </c>
      <c r="C8">
        <v>42.545009999999998</v>
      </c>
      <c r="D8">
        <v>19.955297000000002</v>
      </c>
      <c r="E8">
        <v>22.519597999999998</v>
      </c>
      <c r="F8">
        <v>77.935485999999997</v>
      </c>
      <c r="G8">
        <v>91.235352000000006</v>
      </c>
    </row>
    <row r="9" spans="1:9" x14ac:dyDescent="0.45">
      <c r="A9" s="58">
        <v>43983</v>
      </c>
      <c r="B9">
        <v>129.16996800000001</v>
      </c>
      <c r="C9">
        <v>40.722178999999997</v>
      </c>
      <c r="D9">
        <v>20.491644000000001</v>
      </c>
      <c r="E9">
        <v>22.174147000000001</v>
      </c>
      <c r="F9">
        <v>89.664153999999996</v>
      </c>
      <c r="G9">
        <v>89.909408999999997</v>
      </c>
    </row>
    <row r="10" spans="1:9" x14ac:dyDescent="0.45">
      <c r="A10" s="58">
        <v>44013</v>
      </c>
      <c r="B10">
        <v>142.35273699999999</v>
      </c>
      <c r="C10">
        <v>43.446564000000002</v>
      </c>
      <c r="D10">
        <v>21.80883</v>
      </c>
      <c r="E10">
        <v>23.391172000000001</v>
      </c>
      <c r="F10">
        <v>104.470558</v>
      </c>
      <c r="G10">
        <v>94.550629000000001</v>
      </c>
    </row>
    <row r="11" spans="1:9" x14ac:dyDescent="0.45">
      <c r="A11" s="58">
        <v>44044</v>
      </c>
      <c r="B11">
        <v>158.04106100000001</v>
      </c>
      <c r="C11">
        <v>45.552669999999999</v>
      </c>
      <c r="D11">
        <v>19.701336000000001</v>
      </c>
      <c r="E11">
        <v>24.199711000000001</v>
      </c>
      <c r="F11">
        <v>126.866913</v>
      </c>
      <c r="G11">
        <v>97.436797999999996</v>
      </c>
    </row>
    <row r="12" spans="1:9" x14ac:dyDescent="0.45">
      <c r="A12" s="58">
        <v>44075</v>
      </c>
      <c r="B12">
        <v>159.16383400000001</v>
      </c>
      <c r="C12">
        <v>45.405513999999997</v>
      </c>
      <c r="D12">
        <v>21.029295000000001</v>
      </c>
      <c r="E12">
        <v>22.648448999999999</v>
      </c>
      <c r="F12">
        <v>114.06501799999999</v>
      </c>
      <c r="G12">
        <v>94.552261000000001</v>
      </c>
    </row>
    <row r="13" spans="1:9" x14ac:dyDescent="0.45">
      <c r="A13" s="58">
        <v>44105</v>
      </c>
      <c r="B13">
        <v>151.71714800000001</v>
      </c>
      <c r="C13">
        <v>44.558506000000001</v>
      </c>
      <c r="D13">
        <v>20.604939000000002</v>
      </c>
      <c r="E13">
        <v>22.436997999999999</v>
      </c>
      <c r="F13">
        <v>107.219734</v>
      </c>
      <c r="G13">
        <v>102.982536</v>
      </c>
    </row>
    <row r="14" spans="1:9" x14ac:dyDescent="0.45">
      <c r="A14" s="58">
        <v>44136</v>
      </c>
      <c r="B14">
        <v>150.04324299999999</v>
      </c>
      <c r="C14">
        <v>47.840587999999997</v>
      </c>
      <c r="D14">
        <v>20.736961000000001</v>
      </c>
      <c r="E14">
        <v>26.659319</v>
      </c>
      <c r="F14">
        <v>117.25619500000001</v>
      </c>
      <c r="G14">
        <v>113.271004</v>
      </c>
    </row>
    <row r="15" spans="1:9" x14ac:dyDescent="0.45">
      <c r="A15" s="58">
        <v>44166</v>
      </c>
      <c r="B15">
        <v>154.55934099999999</v>
      </c>
      <c r="C15">
        <v>51.243201999999997</v>
      </c>
      <c r="D15">
        <v>20.736483</v>
      </c>
      <c r="E15">
        <v>28.694744</v>
      </c>
      <c r="F15">
        <v>130.91613799999999</v>
      </c>
      <c r="G15">
        <v>125.979843</v>
      </c>
    </row>
    <row r="16" spans="1:9" x14ac:dyDescent="0.45">
      <c r="A16" s="58">
        <v>44197</v>
      </c>
      <c r="B16">
        <v>160.66430700000001</v>
      </c>
      <c r="C16">
        <v>44.991985</v>
      </c>
      <c r="D16">
        <v>19.298552000000001</v>
      </c>
      <c r="E16">
        <v>28.244865000000001</v>
      </c>
      <c r="F16">
        <v>130.19592299999999</v>
      </c>
      <c r="G16">
        <v>137.13034099999999</v>
      </c>
    </row>
    <row r="17" spans="1:7" x14ac:dyDescent="0.45">
      <c r="A17" s="58">
        <v>44228</v>
      </c>
      <c r="B17">
        <v>154.36807300000001</v>
      </c>
      <c r="C17">
        <v>45.776893999999999</v>
      </c>
      <c r="D17">
        <v>19.326933</v>
      </c>
      <c r="E17">
        <v>33.065066999999999</v>
      </c>
      <c r="F17">
        <v>119.63896200000001</v>
      </c>
      <c r="G17">
        <v>157.156082</v>
      </c>
    </row>
    <row r="18" spans="1:7" x14ac:dyDescent="0.45">
      <c r="A18" s="58">
        <v>44256</v>
      </c>
      <c r="B18">
        <v>183.772919</v>
      </c>
      <c r="C18">
        <v>49.252903000000003</v>
      </c>
      <c r="D18">
        <v>19.166115000000001</v>
      </c>
      <c r="E18">
        <v>36.856453000000002</v>
      </c>
      <c r="F18">
        <v>120.69715100000001</v>
      </c>
      <c r="G18">
        <v>163.73452800000001</v>
      </c>
    </row>
    <row r="19" spans="1:7" x14ac:dyDescent="0.45">
      <c r="A19" s="58">
        <v>44287</v>
      </c>
      <c r="B19">
        <v>189.638428</v>
      </c>
      <c r="C19">
        <v>50.859439999999999</v>
      </c>
      <c r="D19">
        <v>21.447320999999999</v>
      </c>
      <c r="E19">
        <v>38.801017999999999</v>
      </c>
      <c r="F19">
        <v>129.89640800000001</v>
      </c>
      <c r="G19">
        <v>162.90907300000001</v>
      </c>
    </row>
    <row r="20" spans="1:7" x14ac:dyDescent="0.45">
      <c r="A20" s="58">
        <v>44317</v>
      </c>
      <c r="B20">
        <v>188.821594</v>
      </c>
      <c r="C20">
        <v>52.093707999999999</v>
      </c>
      <c r="D20">
        <v>22.064995</v>
      </c>
      <c r="E20">
        <v>40.581676000000002</v>
      </c>
      <c r="F20">
        <v>123.127869</v>
      </c>
      <c r="G20">
        <v>161.77899199999999</v>
      </c>
    </row>
    <row r="21" spans="1:7" x14ac:dyDescent="0.45">
      <c r="A21" s="58">
        <v>44348</v>
      </c>
      <c r="B21">
        <v>187.98808299999999</v>
      </c>
      <c r="C21">
        <v>50.981921999999997</v>
      </c>
      <c r="D21">
        <v>22.352146000000001</v>
      </c>
      <c r="E21">
        <v>39.471156999999998</v>
      </c>
      <c r="F21">
        <v>135.56085200000001</v>
      </c>
      <c r="G21">
        <v>162.75103799999999</v>
      </c>
    </row>
    <row r="22" spans="1:7" x14ac:dyDescent="0.45">
      <c r="A22" s="58">
        <v>44378</v>
      </c>
      <c r="B22">
        <v>186.74757399999999</v>
      </c>
      <c r="C22">
        <v>54.137999999999998</v>
      </c>
      <c r="D22">
        <v>22.151716</v>
      </c>
      <c r="E22">
        <v>36.878185000000002</v>
      </c>
      <c r="F22">
        <v>144.36994899999999</v>
      </c>
      <c r="G22">
        <v>158.23127700000001</v>
      </c>
    </row>
    <row r="23" spans="1:7" x14ac:dyDescent="0.45">
      <c r="A23" s="58">
        <v>44409</v>
      </c>
      <c r="B23">
        <v>198.42510999999999</v>
      </c>
      <c r="C23">
        <v>53.454517000000003</v>
      </c>
      <c r="D23">
        <v>21.970383000000002</v>
      </c>
      <c r="E23">
        <v>40.137233999999999</v>
      </c>
      <c r="F23">
        <v>150.27894599999999</v>
      </c>
      <c r="G23">
        <v>162.229141</v>
      </c>
    </row>
    <row r="24" spans="1:7" x14ac:dyDescent="0.45">
      <c r="A24" s="58">
        <v>44440</v>
      </c>
      <c r="B24">
        <v>197.42269899999999</v>
      </c>
      <c r="C24">
        <v>49.809241999999998</v>
      </c>
      <c r="D24">
        <v>20.800910999999999</v>
      </c>
      <c r="E24">
        <v>40.810187999999997</v>
      </c>
      <c r="F24">
        <v>140.26432800000001</v>
      </c>
      <c r="G24">
        <v>149.75242600000001</v>
      </c>
    </row>
    <row r="25" spans="1:7" x14ac:dyDescent="0.45">
      <c r="A25" s="58">
        <v>44470</v>
      </c>
      <c r="B25">
        <v>227.55287200000001</v>
      </c>
      <c r="C25">
        <v>53.915325000000003</v>
      </c>
      <c r="D25">
        <v>21.395769000000001</v>
      </c>
      <c r="E25">
        <v>46.169677999999998</v>
      </c>
      <c r="F25">
        <v>148.49185199999999</v>
      </c>
      <c r="G25">
        <v>143.714584</v>
      </c>
    </row>
    <row r="26" spans="1:7" x14ac:dyDescent="0.45">
      <c r="A26" s="58">
        <v>44501</v>
      </c>
      <c r="B26">
        <v>238.89610300000001</v>
      </c>
      <c r="C26">
        <v>50.166023000000003</v>
      </c>
      <c r="D26">
        <v>19.745514</v>
      </c>
      <c r="E26">
        <v>42.971245000000003</v>
      </c>
      <c r="F26">
        <v>163.85649100000001</v>
      </c>
      <c r="G26">
        <v>143.56660500000001</v>
      </c>
    </row>
    <row r="27" spans="1:7" x14ac:dyDescent="0.45">
      <c r="A27" s="58">
        <v>44531</v>
      </c>
      <c r="B27">
        <v>252.46276900000001</v>
      </c>
      <c r="C27">
        <v>57.070827000000001</v>
      </c>
      <c r="D27">
        <v>23.012937999999998</v>
      </c>
      <c r="E27">
        <v>42.990561999999997</v>
      </c>
      <c r="F27">
        <v>176.27623</v>
      </c>
      <c r="G27">
        <v>150.27316300000001</v>
      </c>
    </row>
    <row r="28" spans="1:7" x14ac:dyDescent="0.45">
      <c r="A28" s="58">
        <v>44562</v>
      </c>
      <c r="B28">
        <v>231.82467700000001</v>
      </c>
      <c r="C28">
        <v>58.805793999999999</v>
      </c>
      <c r="D28">
        <v>22.221717999999999</v>
      </c>
      <c r="E28">
        <v>44.799548999999999</v>
      </c>
      <c r="F28">
        <v>173.50654599999999</v>
      </c>
      <c r="G28">
        <v>124.815727</v>
      </c>
    </row>
    <row r="29" spans="1:7" x14ac:dyDescent="0.45">
      <c r="A29" s="58">
        <v>44593</v>
      </c>
      <c r="B29">
        <v>216.62586999999999</v>
      </c>
      <c r="C29">
        <v>59.991356000000003</v>
      </c>
      <c r="D29">
        <v>21.941896</v>
      </c>
      <c r="E29">
        <v>42.915913000000003</v>
      </c>
      <c r="F29">
        <v>163.91693100000001</v>
      </c>
      <c r="G29">
        <v>129.71937600000001</v>
      </c>
    </row>
    <row r="30" spans="1:7" x14ac:dyDescent="0.45">
      <c r="A30" s="58">
        <v>44621</v>
      </c>
      <c r="B30">
        <v>198.13438400000001</v>
      </c>
      <c r="C30">
        <v>59.760029000000003</v>
      </c>
      <c r="D30">
        <v>21.198919</v>
      </c>
      <c r="E30">
        <v>40.022488000000003</v>
      </c>
      <c r="F30">
        <v>173.55864</v>
      </c>
      <c r="G30">
        <v>155.62853999999999</v>
      </c>
    </row>
    <row r="31" spans="1:7" x14ac:dyDescent="0.45">
      <c r="A31" s="58">
        <v>44652</v>
      </c>
      <c r="B31">
        <v>193.763824</v>
      </c>
      <c r="C31">
        <v>62.752445000000002</v>
      </c>
      <c r="D31">
        <v>19.175438</v>
      </c>
      <c r="E31">
        <v>34.812820000000002</v>
      </c>
      <c r="F31">
        <v>156.700729</v>
      </c>
      <c r="G31">
        <v>133.96087600000001</v>
      </c>
    </row>
    <row r="32" spans="1:7" x14ac:dyDescent="0.45">
      <c r="A32" s="58">
        <v>44682</v>
      </c>
      <c r="B32">
        <v>192.15692100000001</v>
      </c>
      <c r="C32">
        <v>61.557808000000001</v>
      </c>
      <c r="D32">
        <v>18.088570000000001</v>
      </c>
      <c r="E32">
        <v>36.295878999999999</v>
      </c>
      <c r="F32">
        <v>147.94378699999999</v>
      </c>
      <c r="G32">
        <v>124.89138</v>
      </c>
    </row>
    <row r="33" spans="1:7" x14ac:dyDescent="0.45">
      <c r="A33" s="58">
        <v>44713</v>
      </c>
      <c r="B33">
        <v>171.858948</v>
      </c>
      <c r="C33">
        <v>61.101317999999999</v>
      </c>
      <c r="D33">
        <v>18.443708000000001</v>
      </c>
      <c r="E33">
        <v>30.373404000000001</v>
      </c>
      <c r="F33">
        <v>136.09643600000001</v>
      </c>
      <c r="G33">
        <v>131.99400299999999</v>
      </c>
    </row>
    <row r="34" spans="1:7" x14ac:dyDescent="0.45">
      <c r="A34" s="58">
        <v>44743</v>
      </c>
      <c r="B34">
        <v>188.44760099999999</v>
      </c>
      <c r="C34">
        <v>62.775387000000002</v>
      </c>
      <c r="D34">
        <v>20.544027</v>
      </c>
      <c r="E34">
        <v>33.178272</v>
      </c>
      <c r="F34">
        <v>161.76881399999999</v>
      </c>
      <c r="G34">
        <v>153.00254799999999</v>
      </c>
    </row>
    <row r="35" spans="1:7" x14ac:dyDescent="0.45">
      <c r="A35" s="58">
        <v>44774</v>
      </c>
      <c r="B35">
        <v>192.10127299999999</v>
      </c>
      <c r="C35">
        <v>60.368850999999999</v>
      </c>
      <c r="D35">
        <v>18.736778000000001</v>
      </c>
      <c r="E35">
        <v>32.982005999999998</v>
      </c>
      <c r="F35">
        <v>156.50296</v>
      </c>
      <c r="G35">
        <v>159.36273199999999</v>
      </c>
    </row>
    <row r="36" spans="1:7" x14ac:dyDescent="0.45">
      <c r="A36" s="58">
        <v>44805</v>
      </c>
      <c r="B36">
        <v>185.837738</v>
      </c>
      <c r="C36">
        <v>54.802509000000001</v>
      </c>
      <c r="D36">
        <v>18.376507</v>
      </c>
      <c r="E36">
        <v>29.635722999999999</v>
      </c>
      <c r="F36">
        <v>137.760773</v>
      </c>
      <c r="G36">
        <v>142.678009</v>
      </c>
    </row>
    <row r="37" spans="1:7" x14ac:dyDescent="0.45">
      <c r="A37" s="58">
        <v>44835</v>
      </c>
      <c r="B37">
        <v>192.90275600000001</v>
      </c>
      <c r="C37">
        <v>58.976143</v>
      </c>
      <c r="D37">
        <v>20.431452</v>
      </c>
      <c r="E37">
        <v>35.599628000000003</v>
      </c>
      <c r="F37">
        <v>152.852676</v>
      </c>
      <c r="G37">
        <v>168.588684</v>
      </c>
    </row>
    <row r="38" spans="1:7" x14ac:dyDescent="0.45">
      <c r="A38" s="58">
        <v>44866</v>
      </c>
      <c r="B38">
        <v>211.46191400000001</v>
      </c>
      <c r="C38">
        <v>62.681247999999997</v>
      </c>
      <c r="D38">
        <v>22.181592999999999</v>
      </c>
      <c r="E38">
        <v>37.387507999999997</v>
      </c>
      <c r="F38">
        <v>147.55954</v>
      </c>
      <c r="G38">
        <v>175.74848900000001</v>
      </c>
    </row>
    <row r="39" spans="1:7" x14ac:dyDescent="0.45">
      <c r="A39" s="58">
        <v>44896</v>
      </c>
      <c r="B39">
        <v>198.22006200000001</v>
      </c>
      <c r="C39">
        <v>63.125793000000002</v>
      </c>
      <c r="D39">
        <v>22.375845000000002</v>
      </c>
      <c r="E39">
        <v>32.715305000000001</v>
      </c>
      <c r="F39">
        <v>129.73191800000001</v>
      </c>
      <c r="G39">
        <v>162.495575</v>
      </c>
    </row>
    <row r="40" spans="1:7" ht="14.65" thickBot="1" x14ac:dyDescent="0.5"/>
    <row r="41" spans="1:7" ht="14.65" thickBot="1" x14ac:dyDescent="0.5">
      <c r="A41" s="59" t="s">
        <v>3</v>
      </c>
      <c r="B41" s="60"/>
      <c r="C41" s="61" t="s">
        <v>0</v>
      </c>
      <c r="D41" s="62" t="s">
        <v>0</v>
      </c>
      <c r="E41" s="62" t="s">
        <v>0</v>
      </c>
      <c r="F41" s="61" t="s">
        <v>0</v>
      </c>
      <c r="G41" s="63" t="s">
        <v>0</v>
      </c>
    </row>
    <row r="42" spans="1:7" ht="14.65" thickBot="1" x14ac:dyDescent="0.5">
      <c r="A42" s="23" t="s">
        <v>2</v>
      </c>
      <c r="B42" t="s">
        <v>36</v>
      </c>
      <c r="C42" t="s">
        <v>37</v>
      </c>
      <c r="D42" t="s">
        <v>38</v>
      </c>
      <c r="E42" t="s">
        <v>39</v>
      </c>
      <c r="F42" t="s">
        <v>40</v>
      </c>
      <c r="G42" t="s">
        <v>43</v>
      </c>
    </row>
    <row r="43" spans="1:7" x14ac:dyDescent="0.45">
      <c r="A43" s="58">
        <v>43831</v>
      </c>
      <c r="B43" s="28">
        <f>LN(B4/B3)</f>
        <v>-2.983267064390813E-2</v>
      </c>
      <c r="C43" s="28">
        <f t="shared" ref="C43:G43" si="0">LN(C4/C3)</f>
        <v>5.3639409228194053E-2</v>
      </c>
      <c r="D43" s="28">
        <f t="shared" si="0"/>
        <v>-2.461364082115031E-2</v>
      </c>
      <c r="E43" s="28">
        <f t="shared" si="0"/>
        <v>-6.4826708607640213E-2</v>
      </c>
      <c r="F43" s="28">
        <f t="shared" si="0"/>
        <v>5.2601953023573129E-2</v>
      </c>
      <c r="G43" s="28">
        <f t="shared" si="0"/>
        <v>4.1226177695240174E-2</v>
      </c>
    </row>
    <row r="44" spans="1:7" x14ac:dyDescent="0.45">
      <c r="A44" s="58">
        <v>43862</v>
      </c>
      <c r="B44" s="28">
        <f t="shared" ref="B44:G44" si="1">LN(B5/B4)</f>
        <v>-8.2350036523418699E-2</v>
      </c>
      <c r="C44" s="28">
        <f t="shared" si="1"/>
        <v>-8.7821348131275345E-2</v>
      </c>
      <c r="D44" s="28">
        <f t="shared" si="1"/>
        <v>-0.1378257246714352</v>
      </c>
      <c r="E44" s="28">
        <f t="shared" si="1"/>
        <v>-0.14143869576913284</v>
      </c>
      <c r="F44" s="28">
        <f t="shared" si="1"/>
        <v>-0.12420081472639813</v>
      </c>
      <c r="G44" s="28">
        <f t="shared" si="1"/>
        <v>-1.0047488259565109E-2</v>
      </c>
    </row>
    <row r="45" spans="1:7" x14ac:dyDescent="0.45">
      <c r="A45" s="58">
        <v>43891</v>
      </c>
      <c r="B45" s="28">
        <f t="shared" ref="B45:G45" si="2">LN(B6/B5)</f>
        <v>-0.21387350224290744</v>
      </c>
      <c r="C45" s="28">
        <f t="shared" si="2"/>
        <v>-0.18963924278160132</v>
      </c>
      <c r="D45" s="28">
        <f t="shared" si="2"/>
        <v>-0.23209105357565976</v>
      </c>
      <c r="E45" s="28">
        <f t="shared" si="2"/>
        <v>-0.29448866346393249</v>
      </c>
      <c r="F45" s="28">
        <f t="shared" si="2"/>
        <v>-6.9943789430059314E-2</v>
      </c>
      <c r="G45" s="28">
        <f t="shared" si="2"/>
        <v>-7.5372690493791458E-2</v>
      </c>
    </row>
    <row r="46" spans="1:7" x14ac:dyDescent="0.45">
      <c r="A46" s="58">
        <v>43922</v>
      </c>
      <c r="B46" s="28">
        <f t="shared" ref="B46:G46" si="3">LN(B7/B6)</f>
        <v>0.19664808404362602</v>
      </c>
      <c r="C46" s="28">
        <f t="shared" si="3"/>
        <v>4.5123634330062196E-2</v>
      </c>
      <c r="D46" s="28">
        <f t="shared" si="3"/>
        <v>0.28868973888062111</v>
      </c>
      <c r="E46" s="28">
        <f t="shared" si="3"/>
        <v>0.13108006865664432</v>
      </c>
      <c r="F46" s="28">
        <f t="shared" si="3"/>
        <v>0.14442393479887197</v>
      </c>
      <c r="G46" s="28">
        <f t="shared" si="3"/>
        <v>-1.7403137715537479E-2</v>
      </c>
    </row>
    <row r="47" spans="1:7" x14ac:dyDescent="0.45">
      <c r="A47" s="58">
        <v>43952</v>
      </c>
      <c r="B47" s="28">
        <f t="shared" ref="B47:G47" si="4">LN(B8/B7)</f>
        <v>0.22444491911351289</v>
      </c>
      <c r="C47" s="28">
        <f t="shared" si="4"/>
        <v>1.7068590474483815E-2</v>
      </c>
      <c r="D47" s="28">
        <f t="shared" si="4"/>
        <v>6.8119578696618402E-2</v>
      </c>
      <c r="E47" s="28">
        <f t="shared" si="4"/>
        <v>2.9063582096098949E-3</v>
      </c>
      <c r="F47" s="28">
        <f t="shared" si="4"/>
        <v>7.8963530669704934E-2</v>
      </c>
      <c r="G47" s="28">
        <f t="shared" si="4"/>
        <v>4.2633558742231167E-2</v>
      </c>
    </row>
    <row r="48" spans="1:7" x14ac:dyDescent="0.45">
      <c r="A48" s="58">
        <v>43983</v>
      </c>
      <c r="B48" s="28">
        <f t="shared" ref="B48:G48" si="5">LN(B9/B8)</f>
        <v>3.5940073977715266E-2</v>
      </c>
      <c r="C48" s="28">
        <f t="shared" si="5"/>
        <v>-4.3789691748357312E-2</v>
      </c>
      <c r="D48" s="28">
        <f t="shared" si="5"/>
        <v>2.6522571415040365E-2</v>
      </c>
      <c r="E48" s="28">
        <f t="shared" si="5"/>
        <v>-1.5458891598919892E-2</v>
      </c>
      <c r="F48" s="28">
        <f t="shared" si="5"/>
        <v>0.14018968634882475</v>
      </c>
      <c r="G48" s="28">
        <f t="shared" si="5"/>
        <v>-1.4639856814350842E-2</v>
      </c>
    </row>
    <row r="49" spans="1:7" x14ac:dyDescent="0.45">
      <c r="A49" s="58">
        <v>44013</v>
      </c>
      <c r="B49" s="28">
        <f t="shared" ref="B49:G49" si="6">LN(B10/B9)</f>
        <v>9.7178922287615391E-2</v>
      </c>
      <c r="C49" s="28">
        <f t="shared" si="6"/>
        <v>6.4758886584467379E-2</v>
      </c>
      <c r="D49" s="28">
        <f t="shared" si="6"/>
        <v>6.2297740364840926E-2</v>
      </c>
      <c r="E49" s="28">
        <f t="shared" si="6"/>
        <v>5.3431625510110339E-2</v>
      </c>
      <c r="F49" s="28">
        <f t="shared" si="6"/>
        <v>0.15283422184517839</v>
      </c>
      <c r="G49" s="28">
        <f t="shared" si="6"/>
        <v>5.0332850911947745E-2</v>
      </c>
    </row>
    <row r="50" spans="1:7" x14ac:dyDescent="0.45">
      <c r="A50" s="58">
        <v>44044</v>
      </c>
      <c r="B50" s="28">
        <f t="shared" ref="B50:G50" si="7">LN(B11/B10)</f>
        <v>0.10454683821494364</v>
      </c>
      <c r="C50" s="28">
        <f t="shared" si="7"/>
        <v>4.7337469709714905E-2</v>
      </c>
      <c r="D50" s="28">
        <f t="shared" si="7"/>
        <v>-0.10162848295432836</v>
      </c>
      <c r="E50" s="28">
        <f t="shared" si="7"/>
        <v>3.3982004718509262E-2</v>
      </c>
      <c r="F50" s="28">
        <f t="shared" si="7"/>
        <v>0.19423331778165706</v>
      </c>
      <c r="G50" s="28">
        <f t="shared" si="7"/>
        <v>3.0068494526578012E-2</v>
      </c>
    </row>
    <row r="51" spans="1:7" x14ac:dyDescent="0.45">
      <c r="A51" s="58">
        <v>44075</v>
      </c>
      <c r="B51" s="28">
        <f t="shared" ref="B51:G51" si="8">LN(B12/B11)</f>
        <v>7.0791952247601731E-3</v>
      </c>
      <c r="C51" s="28">
        <f t="shared" si="8"/>
        <v>-3.2356874756775105E-3</v>
      </c>
      <c r="D51" s="28">
        <f t="shared" si="8"/>
        <v>6.5230014911539097E-2</v>
      </c>
      <c r="E51" s="28">
        <f t="shared" si="8"/>
        <v>-6.6249318179365982E-2</v>
      </c>
      <c r="F51" s="28">
        <f t="shared" si="8"/>
        <v>-0.10636998871351394</v>
      </c>
      <c r="G51" s="28">
        <f t="shared" si="8"/>
        <v>-3.0051234081747671E-2</v>
      </c>
    </row>
    <row r="52" spans="1:7" x14ac:dyDescent="0.45">
      <c r="A52" s="58">
        <v>44105</v>
      </c>
      <c r="B52" s="28">
        <f t="shared" ref="B52:G52" si="9">LN(B13/B12)</f>
        <v>-4.7916155377047104E-2</v>
      </c>
      <c r="C52" s="28">
        <f t="shared" si="9"/>
        <v>-1.8830484187576435E-2</v>
      </c>
      <c r="D52" s="28">
        <f t="shared" si="9"/>
        <v>-2.0385661274973876E-2</v>
      </c>
      <c r="E52" s="28">
        <f t="shared" si="9"/>
        <v>-9.3800800240468381E-3</v>
      </c>
      <c r="F52" s="28">
        <f t="shared" si="9"/>
        <v>-6.1888301633704595E-2</v>
      </c>
      <c r="G52" s="28">
        <f t="shared" si="9"/>
        <v>8.5406712363826062E-2</v>
      </c>
    </row>
    <row r="53" spans="1:7" x14ac:dyDescent="0.45">
      <c r="A53" s="58">
        <v>44136</v>
      </c>
      <c r="B53" s="28">
        <f t="shared" ref="B53:G53" si="10">LN(B14/B13)</f>
        <v>-1.1094379642317562E-2</v>
      </c>
      <c r="C53" s="28">
        <f t="shared" si="10"/>
        <v>7.1071333307432177E-2</v>
      </c>
      <c r="D53" s="28">
        <f t="shared" si="10"/>
        <v>6.386859277689891E-3</v>
      </c>
      <c r="E53" s="28">
        <f t="shared" si="10"/>
        <v>0.17242747779918102</v>
      </c>
      <c r="F53" s="28">
        <f t="shared" si="10"/>
        <v>8.9480924235639858E-2</v>
      </c>
      <c r="G53" s="28">
        <f t="shared" si="10"/>
        <v>9.5223792494380552E-2</v>
      </c>
    </row>
    <row r="54" spans="1:7" x14ac:dyDescent="0.45">
      <c r="A54" s="58">
        <v>44166</v>
      </c>
      <c r="B54" s="28">
        <f t="shared" ref="B54:G54" si="11">LN(B15/B14)</f>
        <v>2.9654567522456092E-2</v>
      </c>
      <c r="C54" s="28">
        <f t="shared" si="11"/>
        <v>6.8708564781355438E-2</v>
      </c>
      <c r="D54" s="28">
        <f t="shared" si="11"/>
        <v>-2.3050894930394244E-5</v>
      </c>
      <c r="E54" s="28">
        <f t="shared" si="11"/>
        <v>7.3575199567308638E-2</v>
      </c>
      <c r="F54" s="28">
        <f t="shared" si="11"/>
        <v>0.11019570851571146</v>
      </c>
      <c r="G54" s="28">
        <f t="shared" si="11"/>
        <v>0.10633870501329051</v>
      </c>
    </row>
    <row r="55" spans="1:7" x14ac:dyDescent="0.45">
      <c r="A55" s="58">
        <v>44197</v>
      </c>
      <c r="B55" s="28">
        <f t="shared" ref="B55:G55" si="12">LN(B16/B15)</f>
        <v>3.8739031813885952E-2</v>
      </c>
      <c r="C55" s="28">
        <f t="shared" si="12"/>
        <v>-0.13009860252255698</v>
      </c>
      <c r="D55" s="28">
        <f t="shared" si="12"/>
        <v>-7.1864545533144558E-2</v>
      </c>
      <c r="E55" s="28">
        <f t="shared" si="12"/>
        <v>-1.5802298946856148E-2</v>
      </c>
      <c r="F55" s="28">
        <f t="shared" si="12"/>
        <v>-5.5165343470931251E-3</v>
      </c>
      <c r="G55" s="28">
        <f t="shared" si="12"/>
        <v>8.4809949736685306E-2</v>
      </c>
    </row>
    <row r="56" spans="1:7" x14ac:dyDescent="0.45">
      <c r="A56" s="58">
        <v>44228</v>
      </c>
      <c r="B56" s="28">
        <f t="shared" ref="B56:G56" si="13">LN(B17/B16)</f>
        <v>-3.9977303432211918E-2</v>
      </c>
      <c r="C56" s="28">
        <f t="shared" si="13"/>
        <v>1.7295103206163315E-2</v>
      </c>
      <c r="D56" s="28">
        <f t="shared" si="13"/>
        <v>1.4695481549328302E-3</v>
      </c>
      <c r="E56" s="28">
        <f t="shared" si="13"/>
        <v>0.15756567627758977</v>
      </c>
      <c r="F56" s="28">
        <f t="shared" si="13"/>
        <v>-8.4561858224113731E-2</v>
      </c>
      <c r="G56" s="28">
        <f t="shared" si="13"/>
        <v>0.1363075966717342</v>
      </c>
    </row>
    <row r="57" spans="1:7" x14ac:dyDescent="0.45">
      <c r="A57" s="58">
        <v>44256</v>
      </c>
      <c r="B57" s="28">
        <f t="shared" ref="B57:G57" si="14">LN(B18/B17)</f>
        <v>0.17436102444616436</v>
      </c>
      <c r="C57" s="28">
        <f t="shared" si="14"/>
        <v>7.3188844041691237E-2</v>
      </c>
      <c r="D57" s="28">
        <f t="shared" si="14"/>
        <v>-8.3557392321805726E-3</v>
      </c>
      <c r="E57" s="28">
        <f t="shared" si="14"/>
        <v>0.10855337120049155</v>
      </c>
      <c r="F57" s="28">
        <f t="shared" si="14"/>
        <v>8.8059661520794863E-3</v>
      </c>
      <c r="G57" s="28">
        <f t="shared" si="14"/>
        <v>4.1006920183276757E-2</v>
      </c>
    </row>
    <row r="58" spans="1:7" x14ac:dyDescent="0.45">
      <c r="A58" s="58">
        <v>44287</v>
      </c>
      <c r="B58" s="28">
        <f t="shared" ref="B58:G58" si="15">LN(B19/B18)</f>
        <v>3.1418389042536007E-2</v>
      </c>
      <c r="C58" s="28">
        <f t="shared" si="15"/>
        <v>3.2097439272579624E-2</v>
      </c>
      <c r="D58" s="28">
        <f t="shared" si="15"/>
        <v>0.11245586635681544</v>
      </c>
      <c r="E58" s="28">
        <f t="shared" si="15"/>
        <v>5.1415764761568374E-2</v>
      </c>
      <c r="F58" s="28">
        <f t="shared" si="15"/>
        <v>7.3452747406092714E-2</v>
      </c>
      <c r="G58" s="28">
        <f t="shared" si="15"/>
        <v>-5.0541737516789972E-3</v>
      </c>
    </row>
    <row r="59" spans="1:7" x14ac:dyDescent="0.45">
      <c r="A59" s="58">
        <v>44317</v>
      </c>
      <c r="B59" s="28">
        <f t="shared" ref="B59:G59" si="16">LN(B20/B19)</f>
        <v>-4.3166264380577728E-3</v>
      </c>
      <c r="C59" s="28">
        <f t="shared" si="16"/>
        <v>2.3978424396014858E-2</v>
      </c>
      <c r="D59" s="28">
        <f t="shared" si="16"/>
        <v>2.839267364917937E-2</v>
      </c>
      <c r="E59" s="28">
        <f t="shared" si="16"/>
        <v>4.4870151279920903E-2</v>
      </c>
      <c r="F59" s="28">
        <f t="shared" si="16"/>
        <v>-5.3513870510579084E-2</v>
      </c>
      <c r="G59" s="28">
        <f t="shared" si="16"/>
        <v>-6.9610539167122322E-3</v>
      </c>
    </row>
    <row r="60" spans="1:7" x14ac:dyDescent="0.45">
      <c r="A60" s="58">
        <v>44348</v>
      </c>
      <c r="B60" s="28">
        <f t="shared" ref="B60:G60" si="17">LN(B21/B20)</f>
        <v>-4.424049648125007E-3</v>
      </c>
      <c r="C60" s="28">
        <f t="shared" si="17"/>
        <v>-2.1573074415448971E-2</v>
      </c>
      <c r="D60" s="28">
        <f t="shared" si="17"/>
        <v>1.2929918228979376E-2</v>
      </c>
      <c r="E60" s="28">
        <f t="shared" si="17"/>
        <v>-2.7746432030653165E-2</v>
      </c>
      <c r="F60" s="28">
        <f t="shared" si="17"/>
        <v>9.6197231015315188E-2</v>
      </c>
      <c r="G60" s="28">
        <f t="shared" si="17"/>
        <v>5.9905020617731257E-3</v>
      </c>
    </row>
    <row r="61" spans="1:7" x14ac:dyDescent="0.45">
      <c r="A61" s="58">
        <v>44378</v>
      </c>
      <c r="B61" s="28">
        <f t="shared" ref="B61:G61" si="18">LN(B22/B21)</f>
        <v>-6.6207392235895154E-3</v>
      </c>
      <c r="C61" s="28">
        <f t="shared" si="18"/>
        <v>6.0065242943877432E-2</v>
      </c>
      <c r="D61" s="28">
        <f t="shared" si="18"/>
        <v>-9.007369073589587E-3</v>
      </c>
      <c r="E61" s="28">
        <f t="shared" si="18"/>
        <v>-6.7950018836293147E-2</v>
      </c>
      <c r="F61" s="28">
        <f t="shared" si="18"/>
        <v>6.2958463623738678E-2</v>
      </c>
      <c r="G61" s="28">
        <f t="shared" si="18"/>
        <v>-2.8163917719958267E-2</v>
      </c>
    </row>
    <row r="62" spans="1:7" x14ac:dyDescent="0.45">
      <c r="A62" s="58">
        <v>44409</v>
      </c>
      <c r="B62" s="28">
        <f t="shared" ref="B62:G62" si="19">LN(B23/B22)</f>
        <v>6.0653916043050538E-2</v>
      </c>
      <c r="C62" s="28">
        <f t="shared" si="19"/>
        <v>-1.2705199453228974E-2</v>
      </c>
      <c r="D62" s="28">
        <f t="shared" si="19"/>
        <v>-8.2196461660934226E-3</v>
      </c>
      <c r="E62" s="28">
        <f t="shared" si="19"/>
        <v>8.4684248363320003E-2</v>
      </c>
      <c r="F62" s="28">
        <f t="shared" si="19"/>
        <v>4.0114111723838768E-2</v>
      </c>
      <c r="G62" s="28">
        <f t="shared" si="19"/>
        <v>2.4952045228111317E-2</v>
      </c>
    </row>
    <row r="63" spans="1:7" x14ac:dyDescent="0.45">
      <c r="A63" s="58">
        <v>44440</v>
      </c>
      <c r="B63" s="28">
        <f t="shared" ref="B63:G63" si="20">LN(B24/B23)</f>
        <v>-5.0646390855740827E-3</v>
      </c>
      <c r="C63" s="28">
        <f t="shared" si="20"/>
        <v>-7.0630593645535408E-2</v>
      </c>
      <c r="D63" s="28">
        <f t="shared" si="20"/>
        <v>-5.4698535282475751E-2</v>
      </c>
      <c r="E63" s="28">
        <f t="shared" si="20"/>
        <v>1.6627323946406671E-2</v>
      </c>
      <c r="F63" s="28">
        <f t="shared" si="20"/>
        <v>-6.8964507493920177E-2</v>
      </c>
      <c r="G63" s="28">
        <f t="shared" si="20"/>
        <v>-8.0026349258452645E-2</v>
      </c>
    </row>
    <row r="64" spans="1:7" x14ac:dyDescent="0.45">
      <c r="A64" s="58">
        <v>44470</v>
      </c>
      <c r="B64" s="28">
        <f t="shared" ref="B64:G64" si="21">LN(B25/B24)</f>
        <v>0.14203550552805067</v>
      </c>
      <c r="C64" s="28">
        <f t="shared" si="21"/>
        <v>7.9214211181261179E-2</v>
      </c>
      <c r="D64" s="28">
        <f t="shared" si="21"/>
        <v>2.8196408375090385E-2</v>
      </c>
      <c r="E64" s="28">
        <f t="shared" si="21"/>
        <v>0.12339150614774567</v>
      </c>
      <c r="F64" s="28">
        <f t="shared" si="21"/>
        <v>5.7001388437952084E-2</v>
      </c>
      <c r="G64" s="28">
        <f t="shared" si="21"/>
        <v>-4.1154160049287673E-2</v>
      </c>
    </row>
    <row r="65" spans="1:7" x14ac:dyDescent="0.45">
      <c r="A65" s="58">
        <v>44501</v>
      </c>
      <c r="B65" s="28">
        <f t="shared" ref="B65:G65" si="22">LN(B26/B25)</f>
        <v>4.8646126149280267E-2</v>
      </c>
      <c r="C65" s="28">
        <f t="shared" si="22"/>
        <v>-7.2076795449191211E-2</v>
      </c>
      <c r="D65" s="28">
        <f t="shared" si="22"/>
        <v>-8.0266865893577691E-2</v>
      </c>
      <c r="E65" s="28">
        <f t="shared" si="22"/>
        <v>-7.1792091199132435E-2</v>
      </c>
      <c r="F65" s="28">
        <f t="shared" si="22"/>
        <v>9.8460901811589743E-2</v>
      </c>
      <c r="G65" s="28">
        <f t="shared" si="22"/>
        <v>-1.0302032903917958E-3</v>
      </c>
    </row>
    <row r="66" spans="1:7" x14ac:dyDescent="0.45">
      <c r="A66" s="58">
        <v>44531</v>
      </c>
      <c r="B66" s="28">
        <f t="shared" ref="B66:G66" si="23">LN(B27/B26)</f>
        <v>5.5235046404545435E-2</v>
      </c>
      <c r="C66" s="28">
        <f t="shared" si="23"/>
        <v>0.12895511054589356</v>
      </c>
      <c r="D66" s="28">
        <f t="shared" si="23"/>
        <v>0.15313025320563417</v>
      </c>
      <c r="E66" s="28">
        <f t="shared" si="23"/>
        <v>4.4943216061404771E-4</v>
      </c>
      <c r="F66" s="28">
        <f t="shared" si="23"/>
        <v>7.3061263452280964E-2</v>
      </c>
      <c r="G66" s="28">
        <f t="shared" si="23"/>
        <v>4.5655650736432303E-2</v>
      </c>
    </row>
    <row r="67" spans="1:7" x14ac:dyDescent="0.45">
      <c r="A67" s="58">
        <v>44562</v>
      </c>
      <c r="B67" s="28">
        <f t="shared" ref="B67:G67" si="24">LN(B28/B27)</f>
        <v>-8.5282404945752135E-2</v>
      </c>
      <c r="C67" s="28">
        <f t="shared" si="24"/>
        <v>2.9947312045437029E-2</v>
      </c>
      <c r="D67" s="28">
        <f t="shared" si="24"/>
        <v>-3.4986480557839247E-2</v>
      </c>
      <c r="E67" s="28">
        <f t="shared" si="24"/>
        <v>4.1217469175610241E-2</v>
      </c>
      <c r="F67" s="28">
        <f t="shared" si="24"/>
        <v>-1.5836925532597565E-2</v>
      </c>
      <c r="G67" s="28">
        <f t="shared" si="24"/>
        <v>-0.1856162589709994</v>
      </c>
    </row>
    <row r="68" spans="1:7" x14ac:dyDescent="0.45">
      <c r="A68" s="58">
        <v>44593</v>
      </c>
      <c r="B68" s="28">
        <f t="shared" ref="B68:G68" si="25">LN(B29/B28)</f>
        <v>-6.7809619208306332E-2</v>
      </c>
      <c r="C68" s="28">
        <f t="shared" si="25"/>
        <v>1.9960097711779954E-2</v>
      </c>
      <c r="D68" s="28">
        <f t="shared" si="25"/>
        <v>-1.2672230338809405E-2</v>
      </c>
      <c r="E68" s="28">
        <f t="shared" si="25"/>
        <v>-4.2955382849493184E-2</v>
      </c>
      <c r="F68" s="28">
        <f t="shared" si="25"/>
        <v>-5.6855546574026083E-2</v>
      </c>
      <c r="G68" s="28">
        <f t="shared" si="25"/>
        <v>3.8535005442792446E-2</v>
      </c>
    </row>
    <row r="69" spans="1:7" x14ac:dyDescent="0.45">
      <c r="A69" s="58">
        <v>44621</v>
      </c>
      <c r="B69" s="28">
        <f t="shared" ref="B69:G69" si="26">LN(B30/B29)</f>
        <v>-8.9226256636899315E-2</v>
      </c>
      <c r="C69" s="28">
        <f t="shared" si="26"/>
        <v>-3.8634590779597759E-3</v>
      </c>
      <c r="D69" s="28">
        <f t="shared" si="26"/>
        <v>-3.4447678803719899E-2</v>
      </c>
      <c r="E69" s="28">
        <f t="shared" si="26"/>
        <v>-6.9801193417765597E-2</v>
      </c>
      <c r="F69" s="28">
        <f t="shared" si="26"/>
        <v>5.7155743784766982E-2</v>
      </c>
      <c r="G69" s="28">
        <f t="shared" si="26"/>
        <v>0.18209854288144461</v>
      </c>
    </row>
    <row r="70" spans="1:7" x14ac:dyDescent="0.45">
      <c r="A70" s="58">
        <v>44652</v>
      </c>
      <c r="B70" s="28">
        <f t="shared" ref="B70:G70" si="27">LN(B31/B30)</f>
        <v>-2.2305492182150832E-2</v>
      </c>
      <c r="C70" s="28">
        <f t="shared" si="27"/>
        <v>4.886051529736192E-2</v>
      </c>
      <c r="D70" s="28">
        <f t="shared" si="27"/>
        <v>-0.10032000057692288</v>
      </c>
      <c r="E70" s="28">
        <f t="shared" si="27"/>
        <v>-0.13945578639292841</v>
      </c>
      <c r="F70" s="28">
        <f t="shared" si="27"/>
        <v>-0.1021777234397452</v>
      </c>
      <c r="G70" s="28">
        <f t="shared" si="27"/>
        <v>-0.14992422677813957</v>
      </c>
    </row>
    <row r="71" spans="1:7" x14ac:dyDescent="0.45">
      <c r="A71" s="58">
        <v>44682</v>
      </c>
      <c r="B71" s="28">
        <f t="shared" ref="B71:G71" si="28">LN(B32/B31)</f>
        <v>-8.3276802680515849E-3</v>
      </c>
      <c r="C71" s="28">
        <f t="shared" si="28"/>
        <v>-1.9220840596883931E-2</v>
      </c>
      <c r="D71" s="28">
        <f t="shared" si="28"/>
        <v>-5.8349942150743982E-2</v>
      </c>
      <c r="E71" s="28">
        <f t="shared" si="28"/>
        <v>4.1718498909628407E-2</v>
      </c>
      <c r="F71" s="28">
        <f t="shared" si="28"/>
        <v>-5.7505417505227363E-2</v>
      </c>
      <c r="G71" s="28">
        <f t="shared" si="28"/>
        <v>-7.0103387632372532E-2</v>
      </c>
    </row>
    <row r="72" spans="1:7" x14ac:dyDescent="0.45">
      <c r="A72" s="58">
        <v>44713</v>
      </c>
      <c r="B72" s="28">
        <f t="shared" ref="B72:G72" si="29">LN(B33/B32)</f>
        <v>-0.11163826449270686</v>
      </c>
      <c r="C72" s="28">
        <f t="shared" si="29"/>
        <v>-7.443263659695702E-3</v>
      </c>
      <c r="D72" s="28">
        <f t="shared" si="29"/>
        <v>1.9443035428149225E-2</v>
      </c>
      <c r="E72" s="28">
        <f t="shared" si="29"/>
        <v>-0.17813685158502957</v>
      </c>
      <c r="F72" s="28">
        <f t="shared" si="29"/>
        <v>-8.3468661360520627E-2</v>
      </c>
      <c r="G72" s="28">
        <f t="shared" si="29"/>
        <v>5.5312090198429684E-2</v>
      </c>
    </row>
    <row r="73" spans="1:7" x14ac:dyDescent="0.45">
      <c r="A73" s="58">
        <v>44743</v>
      </c>
      <c r="B73" s="28">
        <f t="shared" ref="B73:G73" si="30">LN(B34/B33)</f>
        <v>9.2145918860111975E-2</v>
      </c>
      <c r="C73" s="28">
        <f t="shared" si="30"/>
        <v>2.7029632759540484E-2</v>
      </c>
      <c r="D73" s="28">
        <f t="shared" si="30"/>
        <v>0.10784695924667527</v>
      </c>
      <c r="E73" s="28">
        <f t="shared" si="30"/>
        <v>8.8327846769713864E-2</v>
      </c>
      <c r="F73" s="28">
        <f t="shared" si="30"/>
        <v>0.17280451923123577</v>
      </c>
      <c r="G73" s="28">
        <f t="shared" si="30"/>
        <v>0.1476980851124044</v>
      </c>
    </row>
    <row r="74" spans="1:7" x14ac:dyDescent="0.45">
      <c r="A74" s="58">
        <v>44774</v>
      </c>
      <c r="B74" s="28">
        <f t="shared" ref="B74:G74" si="31">LN(B35/B34)</f>
        <v>1.9202707044489547E-2</v>
      </c>
      <c r="C74" s="28">
        <f t="shared" si="31"/>
        <v>-3.9089809904088023E-2</v>
      </c>
      <c r="D74" s="28">
        <f t="shared" si="31"/>
        <v>-9.2081911427600818E-2</v>
      </c>
      <c r="E74" s="28">
        <f t="shared" si="31"/>
        <v>-5.9330638161359181E-3</v>
      </c>
      <c r="F74" s="28">
        <f t="shared" si="31"/>
        <v>-3.3093318378936157E-2</v>
      </c>
      <c r="G74" s="28">
        <f t="shared" si="31"/>
        <v>4.07283624150988E-2</v>
      </c>
    </row>
    <row r="75" spans="1:7" x14ac:dyDescent="0.45">
      <c r="A75" s="58">
        <v>44805</v>
      </c>
      <c r="B75" s="28">
        <f t="shared" ref="B75:G75" si="32">LN(B36/B35)</f>
        <v>-3.3148779882028565E-2</v>
      </c>
      <c r="C75" s="28">
        <f t="shared" si="32"/>
        <v>-9.6737282417693263E-2</v>
      </c>
      <c r="D75" s="28">
        <f t="shared" si="32"/>
        <v>-1.9415274990011964E-2</v>
      </c>
      <c r="E75" s="28">
        <f t="shared" si="32"/>
        <v>-0.10698164825369263</v>
      </c>
      <c r="F75" s="28">
        <f t="shared" si="32"/>
        <v>-0.12755627166778885</v>
      </c>
      <c r="G75" s="28">
        <f t="shared" si="32"/>
        <v>-0.11059253117364339</v>
      </c>
    </row>
    <row r="76" spans="1:7" x14ac:dyDescent="0.45">
      <c r="A76" s="58">
        <v>44835</v>
      </c>
      <c r="B76" s="28">
        <f t="shared" ref="B76:G76" si="33">LN(B37/B36)</f>
        <v>3.7312290377637551E-2</v>
      </c>
      <c r="C76" s="28">
        <f t="shared" si="33"/>
        <v>7.3397028622194813E-2</v>
      </c>
      <c r="D76" s="28">
        <f t="shared" si="33"/>
        <v>0.10600242291563872</v>
      </c>
      <c r="E76" s="28">
        <f t="shared" si="33"/>
        <v>0.1833546965949083</v>
      </c>
      <c r="F76" s="28">
        <f t="shared" si="33"/>
        <v>0.10395590367217279</v>
      </c>
      <c r="G76" s="28">
        <f t="shared" si="33"/>
        <v>0.1668715197875642</v>
      </c>
    </row>
    <row r="77" spans="1:7" x14ac:dyDescent="0.45">
      <c r="A77" s="58">
        <v>44866</v>
      </c>
      <c r="B77" s="28">
        <f t="shared" ref="B77:G77" si="34">LN(B38/B37)</f>
        <v>9.1858699615587333E-2</v>
      </c>
      <c r="C77" s="28">
        <f t="shared" si="34"/>
        <v>6.0929321747300966E-2</v>
      </c>
      <c r="D77" s="28">
        <f t="shared" si="34"/>
        <v>8.2187322546909414E-2</v>
      </c>
      <c r="E77" s="28">
        <f t="shared" si="34"/>
        <v>4.9001449566115671E-2</v>
      </c>
      <c r="F77" s="28">
        <f t="shared" si="34"/>
        <v>-3.5242800196115358E-2</v>
      </c>
      <c r="G77" s="28">
        <f t="shared" si="34"/>
        <v>4.159200733671465E-2</v>
      </c>
    </row>
    <row r="78" spans="1:7" x14ac:dyDescent="0.45">
      <c r="A78" s="58">
        <v>44896</v>
      </c>
      <c r="B78" s="28">
        <f t="shared" ref="B78:G78" si="35">LN(B39/B38)</f>
        <v>-6.4667068858358795E-2</v>
      </c>
      <c r="C78" s="28">
        <f t="shared" si="35"/>
        <v>7.0671219459431328E-3</v>
      </c>
      <c r="D78" s="28">
        <f t="shared" si="35"/>
        <v>8.7192280069955143E-3</v>
      </c>
      <c r="E78" s="28">
        <f t="shared" si="35"/>
        <v>-0.13349362671251164</v>
      </c>
      <c r="F78" s="28">
        <f t="shared" si="35"/>
        <v>-0.12876160332147038</v>
      </c>
      <c r="G78" s="28">
        <f t="shared" si="35"/>
        <v>-7.8403162584474065E-2</v>
      </c>
    </row>
    <row r="79" spans="1:7" x14ac:dyDescent="0.45">
      <c r="B79" s="2"/>
      <c r="C79" s="2"/>
      <c r="D79" s="2"/>
      <c r="E79" s="2"/>
    </row>
    <row r="80" spans="1:7" x14ac:dyDescent="0.45">
      <c r="A80" s="24" t="s">
        <v>4</v>
      </c>
      <c r="B80" s="28">
        <f>SUM(B43:B78)/COUNT(B43:B78)</f>
        <v>1.5534044082737706E-2</v>
      </c>
      <c r="C80" s="28">
        <f t="shared" ref="C80:G80" si="36">SUM(C43:C78)/COUNT(C43:C78)</f>
        <v>6.4704977407216476E-3</v>
      </c>
      <c r="D80" s="28">
        <f t="shared" si="36"/>
        <v>2.1323973733933846E-3</v>
      </c>
      <c r="E80" s="28">
        <f t="shared" si="36"/>
        <v>1.858171647629704E-4</v>
      </c>
      <c r="F80" s="28">
        <f t="shared" si="36"/>
        <v>1.6428710679844864E-2</v>
      </c>
      <c r="G80" s="28">
        <f t="shared" si="36"/>
        <v>1.5506798251357022E-2</v>
      </c>
    </row>
    <row r="81" spans="1:7" ht="14.65" thickBot="1" x14ac:dyDescent="0.5">
      <c r="A81" s="2"/>
      <c r="B81" s="2"/>
      <c r="C81" s="2"/>
    </row>
    <row r="82" spans="1:7" ht="14.65" thickBot="1" x14ac:dyDescent="0.5">
      <c r="A82" s="21" t="s">
        <v>5</v>
      </c>
      <c r="B82" s="19" t="s">
        <v>0</v>
      </c>
      <c r="C82" s="19" t="s">
        <v>0</v>
      </c>
      <c r="D82" s="20" t="s">
        <v>0</v>
      </c>
      <c r="E82" s="20" t="s">
        <v>0</v>
      </c>
      <c r="F82" s="19" t="s">
        <v>0</v>
      </c>
      <c r="G82" s="22" t="s">
        <v>0</v>
      </c>
    </row>
    <row r="83" spans="1:7" ht="14.65" thickBot="1" x14ac:dyDescent="0.5">
      <c r="A83" s="23" t="s">
        <v>2</v>
      </c>
      <c r="B83" t="s">
        <v>36</v>
      </c>
      <c r="C83" t="s">
        <v>37</v>
      </c>
      <c r="D83" t="s">
        <v>38</v>
      </c>
      <c r="E83" t="s">
        <v>39</v>
      </c>
      <c r="F83" t="s">
        <v>40</v>
      </c>
      <c r="G83" t="s">
        <v>43</v>
      </c>
    </row>
    <row r="84" spans="1:7" x14ac:dyDescent="0.45">
      <c r="A84" s="58">
        <v>43831</v>
      </c>
      <c r="B84" s="29">
        <f>B43-B$80</f>
        <v>-4.5366714726645836E-2</v>
      </c>
      <c r="C84" s="29">
        <f t="shared" ref="C84:G84" si="37">C43-C$80</f>
        <v>4.7168911487472404E-2</v>
      </c>
      <c r="D84" s="29">
        <f t="shared" si="37"/>
        <v>-2.6746038194543693E-2</v>
      </c>
      <c r="E84" s="29">
        <f t="shared" si="37"/>
        <v>-6.5012525772403185E-2</v>
      </c>
      <c r="F84" s="29">
        <f t="shared" si="37"/>
        <v>3.6173242343728262E-2</v>
      </c>
      <c r="G84" s="29">
        <f t="shared" si="37"/>
        <v>2.5719379443883153E-2</v>
      </c>
    </row>
    <row r="85" spans="1:7" x14ac:dyDescent="0.45">
      <c r="A85" s="58">
        <v>43862</v>
      </c>
      <c r="B85" s="29">
        <f t="shared" ref="B85:G119" si="38">B44-B$80</f>
        <v>-9.7884080606156401E-2</v>
      </c>
      <c r="C85" s="29">
        <f t="shared" si="38"/>
        <v>-9.4291845871996988E-2</v>
      </c>
      <c r="D85" s="29">
        <f t="shared" si="38"/>
        <v>-0.13995812204482858</v>
      </c>
      <c r="E85" s="29">
        <f t="shared" si="38"/>
        <v>-0.1416245129338958</v>
      </c>
      <c r="F85" s="29">
        <f t="shared" si="38"/>
        <v>-0.14062952540624299</v>
      </c>
      <c r="G85" s="29">
        <f t="shared" si="38"/>
        <v>-2.5554286510922133E-2</v>
      </c>
    </row>
    <row r="86" spans="1:7" x14ac:dyDescent="0.45">
      <c r="A86" s="58">
        <v>43891</v>
      </c>
      <c r="B86" s="29">
        <f t="shared" si="38"/>
        <v>-0.22940754632564514</v>
      </c>
      <c r="C86" s="29">
        <f t="shared" si="38"/>
        <v>-0.19610974052232297</v>
      </c>
      <c r="D86" s="29">
        <f t="shared" si="38"/>
        <v>-0.23422345094905314</v>
      </c>
      <c r="E86" s="29">
        <f t="shared" si="38"/>
        <v>-0.29467448062869545</v>
      </c>
      <c r="F86" s="29">
        <f t="shared" si="38"/>
        <v>-8.6372500109904174E-2</v>
      </c>
      <c r="G86" s="29">
        <f t="shared" si="38"/>
        <v>-9.0879488745148479E-2</v>
      </c>
    </row>
    <row r="87" spans="1:7" x14ac:dyDescent="0.45">
      <c r="A87" s="58">
        <v>43922</v>
      </c>
      <c r="B87" s="29">
        <f t="shared" si="38"/>
        <v>0.18111403996088832</v>
      </c>
      <c r="C87" s="29">
        <f t="shared" si="38"/>
        <v>3.8653136589340546E-2</v>
      </c>
      <c r="D87" s="29">
        <f t="shared" si="38"/>
        <v>0.28655734150722773</v>
      </c>
      <c r="E87" s="29">
        <f t="shared" si="38"/>
        <v>0.13089425149188136</v>
      </c>
      <c r="F87" s="29">
        <f t="shared" si="38"/>
        <v>0.12799522411902711</v>
      </c>
      <c r="G87" s="29">
        <f t="shared" si="38"/>
        <v>-3.2909935966894503E-2</v>
      </c>
    </row>
    <row r="88" spans="1:7" x14ac:dyDescent="0.45">
      <c r="A88" s="58">
        <v>43952</v>
      </c>
      <c r="B88" s="29">
        <f t="shared" si="38"/>
        <v>0.20891087503077518</v>
      </c>
      <c r="C88" s="29">
        <f t="shared" si="38"/>
        <v>1.0598092733762167E-2</v>
      </c>
      <c r="D88" s="29">
        <f t="shared" si="38"/>
        <v>6.5987181323225022E-2</v>
      </c>
      <c r="E88" s="29">
        <f t="shared" si="38"/>
        <v>2.7205410448469247E-3</v>
      </c>
      <c r="F88" s="29">
        <f t="shared" si="38"/>
        <v>6.2534819989860074E-2</v>
      </c>
      <c r="G88" s="29">
        <f t="shared" si="38"/>
        <v>2.7126760490874147E-2</v>
      </c>
    </row>
    <row r="89" spans="1:7" x14ac:dyDescent="0.45">
      <c r="A89" s="58">
        <v>43983</v>
      </c>
      <c r="B89" s="29">
        <f t="shared" si="38"/>
        <v>2.040602989497756E-2</v>
      </c>
      <c r="C89" s="29">
        <f t="shared" si="38"/>
        <v>-5.0260189489078962E-2</v>
      </c>
      <c r="D89" s="29">
        <f t="shared" si="38"/>
        <v>2.4390174041646982E-2</v>
      </c>
      <c r="E89" s="29">
        <f t="shared" si="38"/>
        <v>-1.5644708763682864E-2</v>
      </c>
      <c r="F89" s="29">
        <f t="shared" si="38"/>
        <v>0.12376097566897989</v>
      </c>
      <c r="G89" s="29">
        <f t="shared" si="38"/>
        <v>-3.0146655065707864E-2</v>
      </c>
    </row>
    <row r="90" spans="1:7" x14ac:dyDescent="0.45">
      <c r="A90" s="58">
        <v>44013</v>
      </c>
      <c r="B90" s="29">
        <f t="shared" si="38"/>
        <v>8.1644878204877688E-2</v>
      </c>
      <c r="C90" s="29">
        <f t="shared" si="38"/>
        <v>5.828838884374573E-2</v>
      </c>
      <c r="D90" s="29">
        <f t="shared" si="38"/>
        <v>6.0165342991447539E-2</v>
      </c>
      <c r="E90" s="29">
        <f t="shared" si="38"/>
        <v>5.3245808345347367E-2</v>
      </c>
      <c r="F90" s="29">
        <f t="shared" si="38"/>
        <v>0.13640551116533353</v>
      </c>
      <c r="G90" s="29">
        <f t="shared" si="38"/>
        <v>3.4826052660590724E-2</v>
      </c>
    </row>
    <row r="91" spans="1:7" x14ac:dyDescent="0.45">
      <c r="A91" s="58">
        <v>44044</v>
      </c>
      <c r="B91" s="29">
        <f t="shared" si="38"/>
        <v>8.9012794132205933E-2</v>
      </c>
      <c r="C91" s="29">
        <f t="shared" si="38"/>
        <v>4.0866971968993256E-2</v>
      </c>
      <c r="D91" s="29">
        <f t="shared" si="38"/>
        <v>-0.10376088032772174</v>
      </c>
      <c r="E91" s="29">
        <f t="shared" si="38"/>
        <v>3.379618755374629E-2</v>
      </c>
      <c r="F91" s="29">
        <f t="shared" si="38"/>
        <v>0.1778046071018122</v>
      </c>
      <c r="G91" s="29">
        <f t="shared" si="38"/>
        <v>1.4561696275220989E-2</v>
      </c>
    </row>
    <row r="92" spans="1:7" x14ac:dyDescent="0.45">
      <c r="A92" s="58">
        <v>44075</v>
      </c>
      <c r="B92" s="29">
        <f t="shared" si="38"/>
        <v>-8.4548488579775337E-3</v>
      </c>
      <c r="C92" s="29">
        <f t="shared" si="38"/>
        <v>-9.7061852163991581E-3</v>
      </c>
      <c r="D92" s="29">
        <f t="shared" si="38"/>
        <v>6.3097617538145717E-2</v>
      </c>
      <c r="E92" s="29">
        <f t="shared" si="38"/>
        <v>-6.6435135344128954E-2</v>
      </c>
      <c r="F92" s="29">
        <f t="shared" si="38"/>
        <v>-0.1227986993933588</v>
      </c>
      <c r="G92" s="29">
        <f t="shared" si="38"/>
        <v>-4.5558032333104695E-2</v>
      </c>
    </row>
    <row r="93" spans="1:7" x14ac:dyDescent="0.45">
      <c r="A93" s="58">
        <v>44105</v>
      </c>
      <c r="B93" s="29">
        <f t="shared" si="38"/>
        <v>-6.3450199459784806E-2</v>
      </c>
      <c r="C93" s="29">
        <f t="shared" si="38"/>
        <v>-2.5300981928298084E-2</v>
      </c>
      <c r="D93" s="29">
        <f t="shared" si="38"/>
        <v>-2.251805864836726E-2</v>
      </c>
      <c r="E93" s="29">
        <f t="shared" si="38"/>
        <v>-9.5658971888098084E-3</v>
      </c>
      <c r="F93" s="29">
        <f t="shared" si="38"/>
        <v>-7.8317012313549456E-2</v>
      </c>
      <c r="G93" s="29">
        <f t="shared" si="38"/>
        <v>6.9899914112469042E-2</v>
      </c>
    </row>
    <row r="94" spans="1:7" x14ac:dyDescent="0.45">
      <c r="A94" s="58">
        <v>44136</v>
      </c>
      <c r="B94" s="29">
        <f t="shared" si="38"/>
        <v>-2.6628423725055268E-2</v>
      </c>
      <c r="C94" s="29">
        <f t="shared" si="38"/>
        <v>6.4600835566710535E-2</v>
      </c>
      <c r="D94" s="29">
        <f t="shared" si="38"/>
        <v>4.2544619042965068E-3</v>
      </c>
      <c r="E94" s="29">
        <f t="shared" si="38"/>
        <v>0.17224166063441806</v>
      </c>
      <c r="F94" s="29">
        <f t="shared" si="38"/>
        <v>7.3052213555794998E-2</v>
      </c>
      <c r="G94" s="29">
        <f t="shared" si="38"/>
        <v>7.9716994243023531E-2</v>
      </c>
    </row>
    <row r="95" spans="1:7" x14ac:dyDescent="0.45">
      <c r="A95" s="58">
        <v>44166</v>
      </c>
      <c r="B95" s="29">
        <f t="shared" si="38"/>
        <v>1.4120523439718386E-2</v>
      </c>
      <c r="C95" s="29">
        <f t="shared" si="38"/>
        <v>6.2238067040633789E-2</v>
      </c>
      <c r="D95" s="29">
        <f t="shared" si="38"/>
        <v>-2.1554482683237789E-3</v>
      </c>
      <c r="E95" s="29">
        <f t="shared" si="38"/>
        <v>7.3389382402545666E-2</v>
      </c>
      <c r="F95" s="29">
        <f t="shared" si="38"/>
        <v>9.3766997835866603E-2</v>
      </c>
      <c r="G95" s="29">
        <f t="shared" si="38"/>
        <v>9.0831906761933492E-2</v>
      </c>
    </row>
    <row r="96" spans="1:7" x14ac:dyDescent="0.45">
      <c r="A96" s="58">
        <v>44197</v>
      </c>
      <c r="B96" s="29">
        <f t="shared" si="38"/>
        <v>2.3204987731148246E-2</v>
      </c>
      <c r="C96" s="29">
        <f t="shared" si="38"/>
        <v>-0.13656910026327862</v>
      </c>
      <c r="D96" s="29">
        <f t="shared" si="38"/>
        <v>-7.3996942906537938E-2</v>
      </c>
      <c r="E96" s="29">
        <f t="shared" si="38"/>
        <v>-1.598811611161912E-2</v>
      </c>
      <c r="F96" s="29">
        <f t="shared" si="38"/>
        <v>-2.1945245026937989E-2</v>
      </c>
      <c r="G96" s="29">
        <f t="shared" si="38"/>
        <v>6.9303151485328285E-2</v>
      </c>
    </row>
    <row r="97" spans="1:7" x14ac:dyDescent="0.45">
      <c r="A97" s="58">
        <v>44228</v>
      </c>
      <c r="B97" s="29">
        <f t="shared" si="38"/>
        <v>-5.5511347514949627E-2</v>
      </c>
      <c r="C97" s="29">
        <f t="shared" si="38"/>
        <v>1.0824605465441667E-2</v>
      </c>
      <c r="D97" s="29">
        <f t="shared" si="38"/>
        <v>-6.6284921846055441E-4</v>
      </c>
      <c r="E97" s="29">
        <f t="shared" si="38"/>
        <v>0.15737985911282681</v>
      </c>
      <c r="F97" s="29">
        <f t="shared" si="38"/>
        <v>-0.10099056890395859</v>
      </c>
      <c r="G97" s="29">
        <f t="shared" si="38"/>
        <v>0.12080079842037718</v>
      </c>
    </row>
    <row r="98" spans="1:7" x14ac:dyDescent="0.45">
      <c r="A98" s="58">
        <v>44256</v>
      </c>
      <c r="B98" s="29">
        <f t="shared" si="38"/>
        <v>0.15882698036342666</v>
      </c>
      <c r="C98" s="29">
        <f t="shared" si="38"/>
        <v>6.6718346300969594E-2</v>
      </c>
      <c r="D98" s="29">
        <f t="shared" si="38"/>
        <v>-1.0488136605573958E-2</v>
      </c>
      <c r="E98" s="29">
        <f t="shared" si="38"/>
        <v>0.10836755403572858</v>
      </c>
      <c r="F98" s="29">
        <f t="shared" si="38"/>
        <v>-7.6227445277653773E-3</v>
      </c>
      <c r="G98" s="29">
        <f t="shared" si="38"/>
        <v>2.5500121931919736E-2</v>
      </c>
    </row>
    <row r="99" spans="1:7" x14ac:dyDescent="0.45">
      <c r="A99" s="58">
        <v>44287</v>
      </c>
      <c r="B99" s="29">
        <f t="shared" si="38"/>
        <v>1.5884344959798301E-2</v>
      </c>
      <c r="C99" s="29">
        <f t="shared" si="38"/>
        <v>2.5626941531857975E-2</v>
      </c>
      <c r="D99" s="29">
        <f t="shared" si="38"/>
        <v>0.11032346898342206</v>
      </c>
      <c r="E99" s="29">
        <f t="shared" si="38"/>
        <v>5.1229947596805402E-2</v>
      </c>
      <c r="F99" s="29">
        <f t="shared" si="38"/>
        <v>5.7024036726247854E-2</v>
      </c>
      <c r="G99" s="29">
        <f t="shared" si="38"/>
        <v>-2.056097200303602E-2</v>
      </c>
    </row>
    <row r="100" spans="1:7" x14ac:dyDescent="0.45">
      <c r="A100" s="58">
        <v>44317</v>
      </c>
      <c r="B100" s="29">
        <f t="shared" si="38"/>
        <v>-1.9850670520795477E-2</v>
      </c>
      <c r="C100" s="29">
        <f t="shared" si="38"/>
        <v>1.7507926655293209E-2</v>
      </c>
      <c r="D100" s="29">
        <f t="shared" si="38"/>
        <v>2.6260276275785987E-2</v>
      </c>
      <c r="E100" s="29">
        <f t="shared" si="38"/>
        <v>4.4684334115157931E-2</v>
      </c>
      <c r="F100" s="29">
        <f t="shared" si="38"/>
        <v>-6.9942581190423944E-2</v>
      </c>
      <c r="G100" s="29">
        <f t="shared" si="38"/>
        <v>-2.2467852168069256E-2</v>
      </c>
    </row>
    <row r="101" spans="1:7" x14ac:dyDescent="0.45">
      <c r="A101" s="58">
        <v>44348</v>
      </c>
      <c r="B101" s="29">
        <f t="shared" si="38"/>
        <v>-1.9958093730862714E-2</v>
      </c>
      <c r="C101" s="29">
        <f t="shared" si="38"/>
        <v>-2.8043572156170621E-2</v>
      </c>
      <c r="D101" s="29">
        <f t="shared" si="38"/>
        <v>1.0797520855585991E-2</v>
      </c>
      <c r="E101" s="29">
        <f t="shared" si="38"/>
        <v>-2.7932249195416137E-2</v>
      </c>
      <c r="F101" s="29">
        <f t="shared" si="38"/>
        <v>7.9768520335470328E-2</v>
      </c>
      <c r="G101" s="29">
        <f t="shared" si="38"/>
        <v>-9.5162961895838977E-3</v>
      </c>
    </row>
    <row r="102" spans="1:7" x14ac:dyDescent="0.45">
      <c r="A102" s="58">
        <v>44378</v>
      </c>
      <c r="B102" s="29">
        <f t="shared" si="38"/>
        <v>-2.2154783306327221E-2</v>
      </c>
      <c r="C102" s="29">
        <f t="shared" si="38"/>
        <v>5.3594745203155783E-2</v>
      </c>
      <c r="D102" s="29">
        <f t="shared" si="38"/>
        <v>-1.1139766446982972E-2</v>
      </c>
      <c r="E102" s="29">
        <f t="shared" si="38"/>
        <v>-6.8135836001056119E-2</v>
      </c>
      <c r="F102" s="29">
        <f t="shared" si="38"/>
        <v>4.6529752943893818E-2</v>
      </c>
      <c r="G102" s="29">
        <f t="shared" si="38"/>
        <v>-4.3670715971315291E-2</v>
      </c>
    </row>
    <row r="103" spans="1:7" x14ac:dyDescent="0.45">
      <c r="A103" s="58">
        <v>44409</v>
      </c>
      <c r="B103" s="29">
        <f t="shared" si="38"/>
        <v>4.5119871960312835E-2</v>
      </c>
      <c r="C103" s="29">
        <f t="shared" si="38"/>
        <v>-1.9175697193950621E-2</v>
      </c>
      <c r="D103" s="29">
        <f t="shared" si="38"/>
        <v>-1.0352043539486808E-2</v>
      </c>
      <c r="E103" s="29">
        <f t="shared" si="38"/>
        <v>8.4498431198557031E-2</v>
      </c>
      <c r="F103" s="29">
        <f t="shared" si="38"/>
        <v>2.3685401043993904E-2</v>
      </c>
      <c r="G103" s="29">
        <f t="shared" si="38"/>
        <v>9.4452469767542947E-3</v>
      </c>
    </row>
    <row r="104" spans="1:7" x14ac:dyDescent="0.45">
      <c r="A104" s="58">
        <v>44440</v>
      </c>
      <c r="B104" s="29">
        <f t="shared" si="38"/>
        <v>-2.0598683168311788E-2</v>
      </c>
      <c r="C104" s="29">
        <f t="shared" si="38"/>
        <v>-7.7101091386257051E-2</v>
      </c>
      <c r="D104" s="29">
        <f t="shared" si="38"/>
        <v>-5.6830932655869137E-2</v>
      </c>
      <c r="E104" s="29">
        <f t="shared" si="38"/>
        <v>1.6441506781643699E-2</v>
      </c>
      <c r="F104" s="29">
        <f t="shared" si="38"/>
        <v>-8.5393218173765037E-2</v>
      </c>
      <c r="G104" s="29">
        <f t="shared" si="38"/>
        <v>-9.5533147509809666E-2</v>
      </c>
    </row>
    <row r="105" spans="1:7" x14ac:dyDescent="0.45">
      <c r="A105" s="58">
        <v>44470</v>
      </c>
      <c r="B105" s="29">
        <f t="shared" si="38"/>
        <v>0.12650146144531296</v>
      </c>
      <c r="C105" s="29">
        <f t="shared" si="38"/>
        <v>7.2743713440539537E-2</v>
      </c>
      <c r="D105" s="29">
        <f t="shared" si="38"/>
        <v>2.6064011001697002E-2</v>
      </c>
      <c r="E105" s="29">
        <f t="shared" si="38"/>
        <v>0.1232056889829827</v>
      </c>
      <c r="F105" s="29">
        <f t="shared" si="38"/>
        <v>4.0572677758107217E-2</v>
      </c>
      <c r="G105" s="29">
        <f t="shared" si="38"/>
        <v>-5.6660958300644694E-2</v>
      </c>
    </row>
    <row r="106" spans="1:7" x14ac:dyDescent="0.45">
      <c r="A106" s="58">
        <v>44501</v>
      </c>
      <c r="B106" s="29">
        <f t="shared" si="38"/>
        <v>3.3112082066542564E-2</v>
      </c>
      <c r="C106" s="29">
        <f t="shared" si="38"/>
        <v>-7.8547293189912853E-2</v>
      </c>
      <c r="D106" s="29">
        <f t="shared" si="38"/>
        <v>-8.2399263266971071E-2</v>
      </c>
      <c r="E106" s="29">
        <f t="shared" si="38"/>
        <v>-7.1977908363895407E-2</v>
      </c>
      <c r="F106" s="29">
        <f t="shared" si="38"/>
        <v>8.2032191131744883E-2</v>
      </c>
      <c r="G106" s="29">
        <f t="shared" si="38"/>
        <v>-1.6537001541748819E-2</v>
      </c>
    </row>
    <row r="107" spans="1:7" x14ac:dyDescent="0.45">
      <c r="A107" s="58">
        <v>44531</v>
      </c>
      <c r="B107" s="29">
        <f t="shared" si="38"/>
        <v>3.9701002321807732E-2</v>
      </c>
      <c r="C107" s="29">
        <f t="shared" si="38"/>
        <v>0.12248461280517192</v>
      </c>
      <c r="D107" s="29">
        <f t="shared" si="38"/>
        <v>0.15099785583224079</v>
      </c>
      <c r="E107" s="29">
        <f t="shared" si="38"/>
        <v>2.6361499585107729E-4</v>
      </c>
      <c r="F107" s="29">
        <f t="shared" si="38"/>
        <v>5.6632552772436104E-2</v>
      </c>
      <c r="G107" s="29">
        <f t="shared" si="38"/>
        <v>3.0148852485075282E-2</v>
      </c>
    </row>
    <row r="108" spans="1:7" x14ac:dyDescent="0.45">
      <c r="A108" s="58">
        <v>44562</v>
      </c>
      <c r="B108" s="29">
        <f t="shared" si="38"/>
        <v>-0.10081644902848984</v>
      </c>
      <c r="C108" s="29">
        <f t="shared" si="38"/>
        <v>2.3476814304715383E-2</v>
      </c>
      <c r="D108" s="29">
        <f t="shared" si="38"/>
        <v>-3.7118877931232634E-2</v>
      </c>
      <c r="E108" s="29">
        <f t="shared" si="38"/>
        <v>4.1031652010847269E-2</v>
      </c>
      <c r="F108" s="29">
        <f t="shared" si="38"/>
        <v>-3.2265636212442425E-2</v>
      </c>
      <c r="G108" s="29">
        <f t="shared" si="38"/>
        <v>-0.20112305722235643</v>
      </c>
    </row>
    <row r="109" spans="1:7" x14ac:dyDescent="0.45">
      <c r="A109" s="58">
        <v>44593</v>
      </c>
      <c r="B109" s="29">
        <f t="shared" si="38"/>
        <v>-8.3343663291044034E-2</v>
      </c>
      <c r="C109" s="29">
        <f t="shared" si="38"/>
        <v>1.3489599971058306E-2</v>
      </c>
      <c r="D109" s="29">
        <f t="shared" si="38"/>
        <v>-1.4804627712202791E-2</v>
      </c>
      <c r="E109" s="29">
        <f t="shared" si="38"/>
        <v>-4.3141200014256156E-2</v>
      </c>
      <c r="F109" s="29">
        <f t="shared" si="38"/>
        <v>-7.3284257253870944E-2</v>
      </c>
      <c r="G109" s="29">
        <f t="shared" si="38"/>
        <v>2.3028207191435425E-2</v>
      </c>
    </row>
    <row r="110" spans="1:7" x14ac:dyDescent="0.45">
      <c r="A110" s="58">
        <v>44621</v>
      </c>
      <c r="B110" s="29">
        <f t="shared" si="38"/>
        <v>-0.10476030071963702</v>
      </c>
      <c r="C110" s="29">
        <f t="shared" si="38"/>
        <v>-1.0333956818681423E-2</v>
      </c>
      <c r="D110" s="29">
        <f t="shared" si="38"/>
        <v>-3.6580076177113285E-2</v>
      </c>
      <c r="E110" s="29">
        <f t="shared" si="38"/>
        <v>-6.9987010582528569E-2</v>
      </c>
      <c r="F110" s="29">
        <f t="shared" si="38"/>
        <v>4.0727033104922122E-2</v>
      </c>
      <c r="G110" s="29">
        <f t="shared" si="38"/>
        <v>0.16659174463008758</v>
      </c>
    </row>
    <row r="111" spans="1:7" x14ac:dyDescent="0.45">
      <c r="A111" s="58">
        <v>44652</v>
      </c>
      <c r="B111" s="29">
        <f t="shared" si="38"/>
        <v>-3.7839536264888535E-2</v>
      </c>
      <c r="C111" s="29">
        <f t="shared" si="38"/>
        <v>4.2390017556640271E-2</v>
      </c>
      <c r="D111" s="29">
        <f t="shared" si="38"/>
        <v>-0.10245239795031626</v>
      </c>
      <c r="E111" s="29">
        <f t="shared" si="38"/>
        <v>-0.13964160355769137</v>
      </c>
      <c r="F111" s="29">
        <f t="shared" si="38"/>
        <v>-0.11860643411959006</v>
      </c>
      <c r="G111" s="29">
        <f t="shared" si="38"/>
        <v>-0.16543102502949661</v>
      </c>
    </row>
    <row r="112" spans="1:7" x14ac:dyDescent="0.45">
      <c r="A112" s="58">
        <v>44682</v>
      </c>
      <c r="B112" s="29">
        <f t="shared" si="38"/>
        <v>-2.3861724350789291E-2</v>
      </c>
      <c r="C112" s="29">
        <f t="shared" si="38"/>
        <v>-2.5691338337605577E-2</v>
      </c>
      <c r="D112" s="29">
        <f t="shared" si="38"/>
        <v>-6.0482339524137368E-2</v>
      </c>
      <c r="E112" s="29">
        <f t="shared" si="38"/>
        <v>4.1532681744865435E-2</v>
      </c>
      <c r="F112" s="29">
        <f t="shared" si="38"/>
        <v>-7.3934128185072223E-2</v>
      </c>
      <c r="G112" s="29">
        <f t="shared" si="38"/>
        <v>-8.5610185883729553E-2</v>
      </c>
    </row>
    <row r="113" spans="1:7" x14ac:dyDescent="0.45">
      <c r="A113" s="58">
        <v>44713</v>
      </c>
      <c r="B113" s="29">
        <f t="shared" si="38"/>
        <v>-0.12717230857544456</v>
      </c>
      <c r="C113" s="29">
        <f t="shared" si="38"/>
        <v>-1.3913761400417349E-2</v>
      </c>
      <c r="D113" s="29">
        <f t="shared" si="38"/>
        <v>1.7310638054755842E-2</v>
      </c>
      <c r="E113" s="29">
        <f t="shared" si="38"/>
        <v>-0.17832266874979252</v>
      </c>
      <c r="F113" s="29">
        <f t="shared" si="38"/>
        <v>-9.9897372040365487E-2</v>
      </c>
      <c r="G113" s="29">
        <f t="shared" si="38"/>
        <v>3.9805291947072663E-2</v>
      </c>
    </row>
    <row r="114" spans="1:7" x14ac:dyDescent="0.45">
      <c r="A114" s="58">
        <v>44743</v>
      </c>
      <c r="B114" s="29">
        <f t="shared" si="38"/>
        <v>7.6611874777374273E-2</v>
      </c>
      <c r="C114" s="29">
        <f t="shared" si="38"/>
        <v>2.0559135018818835E-2</v>
      </c>
      <c r="D114" s="29">
        <f t="shared" si="38"/>
        <v>0.10571456187328189</v>
      </c>
      <c r="E114" s="29">
        <f t="shared" si="38"/>
        <v>8.8142029604950892E-2</v>
      </c>
      <c r="F114" s="29">
        <f t="shared" si="38"/>
        <v>0.15637580855139091</v>
      </c>
      <c r="G114" s="29">
        <f t="shared" si="38"/>
        <v>0.13219128686104736</v>
      </c>
    </row>
    <row r="115" spans="1:7" x14ac:dyDescent="0.45">
      <c r="A115" s="58">
        <v>44774</v>
      </c>
      <c r="B115" s="29">
        <f t="shared" si="38"/>
        <v>3.668662961751841E-3</v>
      </c>
      <c r="C115" s="29">
        <f t="shared" si="38"/>
        <v>-4.5560307644809672E-2</v>
      </c>
      <c r="D115" s="29">
        <f t="shared" si="38"/>
        <v>-9.4214308800994198E-2</v>
      </c>
      <c r="E115" s="29">
        <f t="shared" si="38"/>
        <v>-6.1188809808988883E-3</v>
      </c>
      <c r="F115" s="29">
        <f t="shared" si="38"/>
        <v>-4.9522029058781017E-2</v>
      </c>
      <c r="G115" s="29">
        <f t="shared" si="38"/>
        <v>2.5221564163741779E-2</v>
      </c>
    </row>
    <row r="116" spans="1:7" x14ac:dyDescent="0.45">
      <c r="A116" s="58">
        <v>44805</v>
      </c>
      <c r="B116" s="29">
        <f t="shared" si="38"/>
        <v>-4.8682823964766267E-2</v>
      </c>
      <c r="C116" s="29">
        <f t="shared" si="38"/>
        <v>-0.10320778015841491</v>
      </c>
      <c r="D116" s="29">
        <f t="shared" si="38"/>
        <v>-2.1547672363405348E-2</v>
      </c>
      <c r="E116" s="29">
        <f t="shared" si="38"/>
        <v>-0.10716746541845561</v>
      </c>
      <c r="F116" s="29">
        <f t="shared" si="38"/>
        <v>-0.14398498234763371</v>
      </c>
      <c r="G116" s="29">
        <f t="shared" si="38"/>
        <v>-0.12609932942500041</v>
      </c>
    </row>
    <row r="117" spans="1:7" x14ac:dyDescent="0.45">
      <c r="A117" s="58">
        <v>44835</v>
      </c>
      <c r="B117" s="29">
        <f t="shared" si="38"/>
        <v>2.1778246294899845E-2</v>
      </c>
      <c r="C117" s="29">
        <f t="shared" si="38"/>
        <v>6.692653088147317E-2</v>
      </c>
      <c r="D117" s="29">
        <f t="shared" si="38"/>
        <v>0.10387002554224534</v>
      </c>
      <c r="E117" s="29">
        <f t="shared" si="38"/>
        <v>0.18316887943014534</v>
      </c>
      <c r="F117" s="29">
        <f t="shared" si="38"/>
        <v>8.7527192992327932E-2</v>
      </c>
      <c r="G117" s="29">
        <f t="shared" si="38"/>
        <v>0.15136472153620717</v>
      </c>
    </row>
    <row r="118" spans="1:7" x14ac:dyDescent="0.45">
      <c r="A118" s="58">
        <v>44866</v>
      </c>
      <c r="B118" s="29">
        <f t="shared" si="38"/>
        <v>7.6324655532849631E-2</v>
      </c>
      <c r="C118" s="29">
        <f t="shared" si="38"/>
        <v>5.4458824006579316E-2</v>
      </c>
      <c r="D118" s="29">
        <f t="shared" si="38"/>
        <v>8.0054925173516034E-2</v>
      </c>
      <c r="E118" s="29">
        <f t="shared" si="38"/>
        <v>4.8815632401352699E-2</v>
      </c>
      <c r="F118" s="29">
        <f t="shared" si="38"/>
        <v>-5.1671510875960225E-2</v>
      </c>
      <c r="G118" s="29">
        <f t="shared" si="38"/>
        <v>2.6085209085357629E-2</v>
      </c>
    </row>
    <row r="119" spans="1:7" x14ac:dyDescent="0.45">
      <c r="A119" s="58">
        <v>44896</v>
      </c>
      <c r="B119" s="29">
        <f t="shared" si="38"/>
        <v>-8.0201112941096497E-2</v>
      </c>
      <c r="C119" s="29">
        <f t="shared" si="38"/>
        <v>5.9662420522148523E-4</v>
      </c>
      <c r="D119" s="29">
        <f t="shared" si="38"/>
        <v>6.5868306336021292E-3</v>
      </c>
      <c r="E119" s="29">
        <f t="shared" si="38"/>
        <v>-0.1336794438772746</v>
      </c>
      <c r="F119" s="29">
        <f t="shared" si="38"/>
        <v>-0.14519031400131524</v>
      </c>
      <c r="G119" s="29">
        <f t="shared" si="38"/>
        <v>-9.3909960835831086E-2</v>
      </c>
    </row>
    <row r="120" spans="1:7" ht="14.65" thickBot="1" x14ac:dyDescent="0.5">
      <c r="B120" s="3" t="s">
        <v>0</v>
      </c>
      <c r="C120" s="3"/>
      <c r="D120" s="3"/>
      <c r="E120" s="3"/>
      <c r="F120" s="3"/>
      <c r="G120" s="3"/>
    </row>
    <row r="121" spans="1:7" ht="28.9" thickBot="1" x14ac:dyDescent="0.5">
      <c r="A121" s="25" t="s">
        <v>9</v>
      </c>
      <c r="B121" s="19" t="s">
        <v>0</v>
      </c>
      <c r="C121" s="19" t="s">
        <v>0</v>
      </c>
      <c r="D121" s="20" t="s">
        <v>0</v>
      </c>
      <c r="E121" s="20" t="s">
        <v>0</v>
      </c>
      <c r="F121" s="19" t="s">
        <v>0</v>
      </c>
      <c r="G121" s="22" t="s">
        <v>0</v>
      </c>
    </row>
    <row r="122" spans="1:7" ht="14.65" thickBot="1" x14ac:dyDescent="0.5">
      <c r="A122" s="23" t="s">
        <v>2</v>
      </c>
      <c r="B122" t="s">
        <v>36</v>
      </c>
      <c r="C122" t="s">
        <v>37</v>
      </c>
      <c r="D122" t="s">
        <v>38</v>
      </c>
      <c r="E122" t="s">
        <v>39</v>
      </c>
      <c r="F122" t="s">
        <v>40</v>
      </c>
      <c r="G122" t="s">
        <v>43</v>
      </c>
    </row>
    <row r="123" spans="1:7" x14ac:dyDescent="0.45">
      <c r="A123" s="58">
        <v>43831</v>
      </c>
      <c r="B123" s="29">
        <f>B84^2</f>
        <v>2.0581388050888642E-3</v>
      </c>
      <c r="C123" s="29">
        <f t="shared" ref="C123:G123" si="39">C84^2</f>
        <v>2.2249062109130063E-3</v>
      </c>
      <c r="D123" s="29">
        <f t="shared" si="39"/>
        <v>7.1535055910399012E-4</v>
      </c>
      <c r="E123" s="29">
        <f t="shared" si="39"/>
        <v>4.2266285073073884E-3</v>
      </c>
      <c r="F123" s="29">
        <f t="shared" si="39"/>
        <v>1.3085034616580954E-3</v>
      </c>
      <c r="G123" s="29">
        <f t="shared" si="39"/>
        <v>6.6148647897843924E-4</v>
      </c>
    </row>
    <row r="124" spans="1:7" x14ac:dyDescent="0.45">
      <c r="A124" s="58">
        <v>43862</v>
      </c>
      <c r="B124" s="29">
        <f t="shared" ref="B124:G158" si="40">B85^2</f>
        <v>9.581293236112523E-3</v>
      </c>
      <c r="C124" s="29">
        <f t="shared" si="40"/>
        <v>8.890952197948436E-3</v>
      </c>
      <c r="D124" s="29">
        <f t="shared" si="40"/>
        <v>1.9588275926315131E-2</v>
      </c>
      <c r="E124" s="29">
        <f t="shared" si="40"/>
        <v>2.0057502663763219E-2</v>
      </c>
      <c r="F124" s="29">
        <f t="shared" si="40"/>
        <v>1.9776663415985142E-2</v>
      </c>
      <c r="G124" s="29">
        <f t="shared" si="40"/>
        <v>6.5302155908229689E-4</v>
      </c>
    </row>
    <row r="125" spans="1:7" x14ac:dyDescent="0.45">
      <c r="A125" s="58">
        <v>43891</v>
      </c>
      <c r="B125" s="29">
        <f t="shared" si="40"/>
        <v>5.2627822311153018E-2</v>
      </c>
      <c r="C125" s="29">
        <f t="shared" si="40"/>
        <v>3.8459030327732846E-2</v>
      </c>
      <c r="D125" s="29">
        <f t="shared" si="40"/>
        <v>5.4860624974483505E-2</v>
      </c>
      <c r="E125" s="29">
        <f t="shared" si="40"/>
        <v>8.6833049533791409E-2</v>
      </c>
      <c r="F125" s="29">
        <f t="shared" si="40"/>
        <v>7.4602087752353961E-3</v>
      </c>
      <c r="G125" s="29">
        <f t="shared" si="40"/>
        <v>8.2590814745795698E-3</v>
      </c>
    </row>
    <row r="126" spans="1:7" x14ac:dyDescent="0.45">
      <c r="A126" s="58">
        <v>43922</v>
      </c>
      <c r="B126" s="29">
        <f t="shared" si="40"/>
        <v>3.280229547095425E-2</v>
      </c>
      <c r="C126" s="29">
        <f t="shared" si="40"/>
        <v>1.4940649681942169E-3</v>
      </c>
      <c r="D126" s="29">
        <f t="shared" si="40"/>
        <v>8.2115109971689942E-2</v>
      </c>
      <c r="E126" s="29">
        <f t="shared" si="40"/>
        <v>1.7133305073619886E-2</v>
      </c>
      <c r="F126" s="29">
        <f t="shared" si="40"/>
        <v>1.6382777397279981E-2</v>
      </c>
      <c r="G126" s="29">
        <f t="shared" si="40"/>
        <v>1.0830638853450965E-3</v>
      </c>
    </row>
    <row r="127" spans="1:7" x14ac:dyDescent="0.45">
      <c r="A127" s="58">
        <v>43952</v>
      </c>
      <c r="B127" s="29">
        <f t="shared" si="40"/>
        <v>4.3643753706124166E-2</v>
      </c>
      <c r="C127" s="29">
        <f t="shared" si="40"/>
        <v>1.1231956959342244E-4</v>
      </c>
      <c r="D127" s="29">
        <f t="shared" si="40"/>
        <v>4.3543080989841771E-3</v>
      </c>
      <c r="E127" s="29">
        <f t="shared" si="40"/>
        <v>7.4013435766967967E-6</v>
      </c>
      <c r="F127" s="29">
        <f t="shared" si="40"/>
        <v>3.9106037111642034E-3</v>
      </c>
      <c r="G127" s="29">
        <f t="shared" si="40"/>
        <v>7.3586113472925052E-4</v>
      </c>
    </row>
    <row r="128" spans="1:7" x14ac:dyDescent="0.45">
      <c r="A128" s="58">
        <v>43983</v>
      </c>
      <c r="B128" s="29">
        <f t="shared" si="40"/>
        <v>4.1640605607471786E-4</v>
      </c>
      <c r="C128" s="29">
        <f t="shared" si="40"/>
        <v>2.5260866474781235E-3</v>
      </c>
      <c r="D128" s="29">
        <f t="shared" si="40"/>
        <v>5.9488058978183025E-4</v>
      </c>
      <c r="E128" s="29">
        <f t="shared" si="40"/>
        <v>2.4475691230045539E-4</v>
      </c>
      <c r="F128" s="29">
        <f t="shared" si="40"/>
        <v>1.5316779098537833E-2</v>
      </c>
      <c r="G128" s="29">
        <f t="shared" si="40"/>
        <v>9.0882081165076967E-4</v>
      </c>
    </row>
    <row r="129" spans="1:7" x14ac:dyDescent="0.45">
      <c r="A129" s="58">
        <v>44013</v>
      </c>
      <c r="B129" s="29">
        <f t="shared" si="40"/>
        <v>6.6658861370893115E-3</v>
      </c>
      <c r="C129" s="29">
        <f t="shared" si="40"/>
        <v>3.3975362739997014E-3</v>
      </c>
      <c r="D129" s="29">
        <f t="shared" si="40"/>
        <v>3.6198684972785253E-3</v>
      </c>
      <c r="E129" s="29">
        <f t="shared" si="40"/>
        <v>2.8351161063494635E-3</v>
      </c>
      <c r="F129" s="29">
        <f t="shared" si="40"/>
        <v>1.8606463476275932E-2</v>
      </c>
      <c r="G129" s="29">
        <f t="shared" si="40"/>
        <v>1.2128539439182383E-3</v>
      </c>
    </row>
    <row r="130" spans="1:7" x14ac:dyDescent="0.45">
      <c r="A130" s="58">
        <v>44044</v>
      </c>
      <c r="B130" s="29">
        <f t="shared" si="40"/>
        <v>7.9232775192224752E-3</v>
      </c>
      <c r="C130" s="29">
        <f t="shared" si="40"/>
        <v>1.6701093979144806E-3</v>
      </c>
      <c r="D130" s="29">
        <f t="shared" si="40"/>
        <v>1.0766320286383793E-2</v>
      </c>
      <c r="E130" s="29">
        <f t="shared" si="40"/>
        <v>1.1421822931679956E-3</v>
      </c>
      <c r="F130" s="29">
        <f t="shared" si="40"/>
        <v>3.1614478306629806E-2</v>
      </c>
      <c r="G130" s="29">
        <f t="shared" si="40"/>
        <v>2.1204299841178482E-4</v>
      </c>
    </row>
    <row r="131" spans="1:7" x14ac:dyDescent="0.45">
      <c r="A131" s="58">
        <v>44075</v>
      </c>
      <c r="B131" s="29">
        <f t="shared" si="40"/>
        <v>7.1484469211244005E-5</v>
      </c>
      <c r="C131" s="29">
        <f t="shared" si="40"/>
        <v>9.4210031455045567E-5</v>
      </c>
      <c r="D131" s="29">
        <f t="shared" si="40"/>
        <v>3.9813093389901143E-3</v>
      </c>
      <c r="E131" s="29">
        <f t="shared" si="40"/>
        <v>4.413627208192732E-3</v>
      </c>
      <c r="F131" s="29">
        <f t="shared" si="40"/>
        <v>1.5079520572700499E-2</v>
      </c>
      <c r="G131" s="29">
        <f t="shared" si="40"/>
        <v>2.075534310064213E-3</v>
      </c>
    </row>
    <row r="132" spans="1:7" x14ac:dyDescent="0.45">
      <c r="A132" s="58">
        <v>44105</v>
      </c>
      <c r="B132" s="29">
        <f t="shared" si="40"/>
        <v>4.0259278114864764E-3</v>
      </c>
      <c r="C132" s="29">
        <f t="shared" si="40"/>
        <v>6.4013968653606624E-4</v>
      </c>
      <c r="D132" s="29">
        <f t="shared" si="40"/>
        <v>5.0706296529130757E-4</v>
      </c>
      <c r="E132" s="29">
        <f t="shared" si="40"/>
        <v>9.1506389026879396E-5</v>
      </c>
      <c r="F132" s="29">
        <f t="shared" si="40"/>
        <v>6.1335544177206569E-3</v>
      </c>
      <c r="G132" s="29">
        <f t="shared" si="40"/>
        <v>4.885997992930549E-3</v>
      </c>
    </row>
    <row r="133" spans="1:7" x14ac:dyDescent="0.45">
      <c r="A133" s="58">
        <v>44136</v>
      </c>
      <c r="B133" s="29">
        <f t="shared" si="40"/>
        <v>7.0907295008108622E-4</v>
      </c>
      <c r="C133" s="29">
        <f t="shared" si="40"/>
        <v>4.1732679559171731E-3</v>
      </c>
      <c r="D133" s="29">
        <f t="shared" si="40"/>
        <v>1.810044609511026E-5</v>
      </c>
      <c r="E133" s="29">
        <f t="shared" si="40"/>
        <v>2.9667189658102042E-2</v>
      </c>
      <c r="F133" s="29">
        <f t="shared" si="40"/>
        <v>5.3366259054014788E-3</v>
      </c>
      <c r="G133" s="29">
        <f t="shared" si="40"/>
        <v>6.3547991711422466E-3</v>
      </c>
    </row>
    <row r="134" spans="1:7" x14ac:dyDescent="0.45">
      <c r="A134" s="58">
        <v>44166</v>
      </c>
      <c r="B134" s="29">
        <f t="shared" si="40"/>
        <v>1.9938918221163636E-4</v>
      </c>
      <c r="C134" s="29">
        <f t="shared" si="40"/>
        <v>3.8735769889544258E-3</v>
      </c>
      <c r="D134" s="29">
        <f t="shared" si="40"/>
        <v>4.6459572374199774E-6</v>
      </c>
      <c r="E134" s="29">
        <f t="shared" si="40"/>
        <v>5.3860014494270794E-3</v>
      </c>
      <c r="F134" s="29">
        <f t="shared" si="40"/>
        <v>8.7922498831514116E-3</v>
      </c>
      <c r="G134" s="29">
        <f t="shared" si="40"/>
        <v>8.2504352860085801E-3</v>
      </c>
    </row>
    <row r="135" spans="1:7" x14ac:dyDescent="0.45">
      <c r="A135" s="58">
        <v>44197</v>
      </c>
      <c r="B135" s="29">
        <f t="shared" si="40"/>
        <v>5.3847145560274065E-4</v>
      </c>
      <c r="C135" s="29">
        <f t="shared" si="40"/>
        <v>1.8651119146721448E-2</v>
      </c>
      <c r="D135" s="29">
        <f t="shared" si="40"/>
        <v>5.4755475595134355E-3</v>
      </c>
      <c r="E135" s="29">
        <f t="shared" si="40"/>
        <v>2.5561985679861492E-4</v>
      </c>
      <c r="F135" s="29">
        <f t="shared" si="40"/>
        <v>4.8159377929234652E-4</v>
      </c>
      <c r="G135" s="29">
        <f t="shared" si="40"/>
        <v>4.8029268057983602E-3</v>
      </c>
    </row>
    <row r="136" spans="1:7" x14ac:dyDescent="0.45">
      <c r="A136" s="58">
        <v>44228</v>
      </c>
      <c r="B136" s="29">
        <f t="shared" si="40"/>
        <v>3.0815097029255043E-3</v>
      </c>
      <c r="C136" s="29">
        <f t="shared" si="40"/>
        <v>1.1717208348246962E-4</v>
      </c>
      <c r="D136" s="29">
        <f t="shared" si="40"/>
        <v>4.3936908641376778E-7</v>
      </c>
      <c r="E136" s="29">
        <f t="shared" si="40"/>
        <v>2.4768420054373217E-2</v>
      </c>
      <c r="F136" s="29">
        <f t="shared" si="40"/>
        <v>1.0199095007545208E-2</v>
      </c>
      <c r="G136" s="29">
        <f t="shared" si="40"/>
        <v>1.4592832899000601E-2</v>
      </c>
    </row>
    <row r="137" spans="1:7" x14ac:dyDescent="0.45">
      <c r="A137" s="58">
        <v>44256</v>
      </c>
      <c r="B137" s="29">
        <f t="shared" si="40"/>
        <v>2.5226009691364317E-2</v>
      </c>
      <c r="C137" s="29">
        <f t="shared" si="40"/>
        <v>4.4513377331361036E-3</v>
      </c>
      <c r="D137" s="29">
        <f t="shared" si="40"/>
        <v>1.1000100945718042E-4</v>
      </c>
      <c r="E137" s="29">
        <f t="shared" si="40"/>
        <v>1.1743526767686554E-2</v>
      </c>
      <c r="F137" s="29">
        <f t="shared" si="40"/>
        <v>5.8106234135577004E-5</v>
      </c>
      <c r="G137" s="29">
        <f t="shared" si="40"/>
        <v>6.5025621854277393E-4</v>
      </c>
    </row>
    <row r="138" spans="1:7" x14ac:dyDescent="0.45">
      <c r="A138" s="58">
        <v>44287</v>
      </c>
      <c r="B138" s="29">
        <f t="shared" si="40"/>
        <v>2.523124148018697E-4</v>
      </c>
      <c r="C138" s="29">
        <f t="shared" si="40"/>
        <v>6.5674013227726711E-4</v>
      </c>
      <c r="D138" s="29">
        <f t="shared" si="40"/>
        <v>1.217126780853609E-2</v>
      </c>
      <c r="E138" s="29">
        <f t="shared" si="40"/>
        <v>2.6245075307714276E-3</v>
      </c>
      <c r="F138" s="29">
        <f t="shared" si="40"/>
        <v>3.2517407645564641E-3</v>
      </c>
      <c r="G138" s="29">
        <f t="shared" si="40"/>
        <v>4.2275356970963103E-4</v>
      </c>
    </row>
    <row r="139" spans="1:7" x14ac:dyDescent="0.45">
      <c r="A139" s="58">
        <v>44317</v>
      </c>
      <c r="B139" s="29">
        <f t="shared" si="40"/>
        <v>3.9404912012517857E-4</v>
      </c>
      <c r="C139" s="29">
        <f t="shared" si="40"/>
        <v>3.0652749576712642E-4</v>
      </c>
      <c r="D139" s="29">
        <f t="shared" si="40"/>
        <v>6.8960211008060835E-4</v>
      </c>
      <c r="E139" s="29">
        <f t="shared" si="40"/>
        <v>1.996689715315067E-3</v>
      </c>
      <c r="F139" s="29">
        <f t="shared" si="40"/>
        <v>4.8919646635790454E-3</v>
      </c>
      <c r="G139" s="29">
        <f t="shared" si="40"/>
        <v>5.0480438104621441E-4</v>
      </c>
    </row>
    <row r="140" spans="1:7" x14ac:dyDescent="0.45">
      <c r="A140" s="58">
        <v>44348</v>
      </c>
      <c r="B140" s="29">
        <f t="shared" si="40"/>
        <v>3.9832550536990157E-4</v>
      </c>
      <c r="C140" s="29">
        <f t="shared" si="40"/>
        <v>7.8644193927834816E-4</v>
      </c>
      <c r="D140" s="29">
        <f t="shared" si="40"/>
        <v>1.1658645662681443E-4</v>
      </c>
      <c r="E140" s="29">
        <f t="shared" si="40"/>
        <v>7.802105451148255E-4</v>
      </c>
      <c r="F140" s="29">
        <f t="shared" si="40"/>
        <v>6.3630168365103436E-3</v>
      </c>
      <c r="G140" s="29">
        <f t="shared" si="40"/>
        <v>9.0559893167889012E-5</v>
      </c>
    </row>
    <row r="141" spans="1:7" x14ac:dyDescent="0.45">
      <c r="A141" s="58">
        <v>44378</v>
      </c>
      <c r="B141" s="29">
        <f t="shared" si="40"/>
        <v>4.908344233503153E-4</v>
      </c>
      <c r="C141" s="29">
        <f t="shared" si="40"/>
        <v>2.87239671339119E-3</v>
      </c>
      <c r="D141" s="29">
        <f t="shared" si="40"/>
        <v>1.2409439649332764E-4</v>
      </c>
      <c r="E141" s="29">
        <f t="shared" si="40"/>
        <v>4.6424921475628151E-3</v>
      </c>
      <c r="F141" s="29">
        <f t="shared" si="40"/>
        <v>2.1650179090197956E-3</v>
      </c>
      <c r="G141" s="29">
        <f t="shared" si="40"/>
        <v>1.9071314334472924E-3</v>
      </c>
    </row>
    <row r="142" spans="1:7" x14ac:dyDescent="0.45">
      <c r="A142" s="58">
        <v>44409</v>
      </c>
      <c r="B142" s="29">
        <f t="shared" si="40"/>
        <v>2.0358028457150242E-3</v>
      </c>
      <c r="C142" s="29">
        <f t="shared" si="40"/>
        <v>3.6770736287408576E-4</v>
      </c>
      <c r="D142" s="29">
        <f t="shared" si="40"/>
        <v>1.0716480544343056E-4</v>
      </c>
      <c r="E142" s="29">
        <f t="shared" si="40"/>
        <v>7.1399848750172759E-3</v>
      </c>
      <c r="F142" s="29">
        <f t="shared" si="40"/>
        <v>5.6099822261482756E-4</v>
      </c>
      <c r="G142" s="29">
        <f t="shared" si="40"/>
        <v>8.9212690451886148E-5</v>
      </c>
    </row>
    <row r="143" spans="1:7" x14ac:dyDescent="0.45">
      <c r="A143" s="58">
        <v>44440</v>
      </c>
      <c r="B143" s="29">
        <f t="shared" si="40"/>
        <v>4.2430574826849137E-4</v>
      </c>
      <c r="C143" s="29">
        <f t="shared" si="40"/>
        <v>5.9445782929519611E-3</v>
      </c>
      <c r="D143" s="29">
        <f t="shared" si="40"/>
        <v>3.2297549065359332E-3</v>
      </c>
      <c r="E143" s="29">
        <f t="shared" si="40"/>
        <v>2.7032314525083577E-4</v>
      </c>
      <c r="F143" s="29">
        <f t="shared" si="40"/>
        <v>7.2920017100722356E-3</v>
      </c>
      <c r="G143" s="29">
        <f t="shared" si="40"/>
        <v>9.1265822731310519E-3</v>
      </c>
    </row>
    <row r="144" spans="1:7" x14ac:dyDescent="0.45">
      <c r="A144" s="58">
        <v>44470</v>
      </c>
      <c r="B144" s="29">
        <f t="shared" si="40"/>
        <v>1.6002619747800002E-2</v>
      </c>
      <c r="C144" s="29">
        <f t="shared" si="40"/>
        <v>5.2916478451193322E-3</v>
      </c>
      <c r="D144" s="29">
        <f t="shared" si="40"/>
        <v>6.7933266949658235E-4</v>
      </c>
      <c r="E144" s="29">
        <f t="shared" si="40"/>
        <v>1.5179641797771466E-2</v>
      </c>
      <c r="F144" s="29">
        <f t="shared" si="40"/>
        <v>1.6461421804632081E-3</v>
      </c>
      <c r="G144" s="29">
        <f t="shared" si="40"/>
        <v>3.210464195547397E-3</v>
      </c>
    </row>
    <row r="145" spans="1:7" x14ac:dyDescent="0.45">
      <c r="A145" s="58">
        <v>44501</v>
      </c>
      <c r="B145" s="29">
        <f t="shared" si="40"/>
        <v>1.0964099787814498E-3</v>
      </c>
      <c r="C145" s="29">
        <f t="shared" si="40"/>
        <v>6.1696772674621298E-3</v>
      </c>
      <c r="D145" s="29">
        <f t="shared" si="40"/>
        <v>6.7896385869396078E-3</v>
      </c>
      <c r="E145" s="29">
        <f t="shared" si="40"/>
        <v>5.1808192924413243E-3</v>
      </c>
      <c r="F145" s="29">
        <f t="shared" si="40"/>
        <v>6.7292803818751242E-3</v>
      </c>
      <c r="G145" s="29">
        <f t="shared" si="40"/>
        <v>2.7347241999180281E-4</v>
      </c>
    </row>
    <row r="146" spans="1:7" x14ac:dyDescent="0.45">
      <c r="A146" s="58">
        <v>44531</v>
      </c>
      <c r="B146" s="29">
        <f t="shared" si="40"/>
        <v>1.5761695853561829E-3</v>
      </c>
      <c r="C146" s="29">
        <f t="shared" si="40"/>
        <v>1.5002480374032885E-2</v>
      </c>
      <c r="D146" s="29">
        <f t="shared" si="40"/>
        <v>2.2800352465934173E-2</v>
      </c>
      <c r="E146" s="29">
        <f t="shared" si="40"/>
        <v>6.9492866037563492E-8</v>
      </c>
      <c r="F146" s="29">
        <f t="shared" si="40"/>
        <v>3.2072460335227601E-3</v>
      </c>
      <c r="G146" s="29">
        <f t="shared" si="40"/>
        <v>9.0895330616683006E-4</v>
      </c>
    </row>
    <row r="147" spans="1:7" x14ac:dyDescent="0.45">
      <c r="A147" s="58">
        <v>44562</v>
      </c>
      <c r="B147" s="29">
        <f t="shared" si="40"/>
        <v>1.016395639471409E-2</v>
      </c>
      <c r="C147" s="29">
        <f t="shared" si="40"/>
        <v>5.5116080989808889E-4</v>
      </c>
      <c r="D147" s="29">
        <f t="shared" si="40"/>
        <v>1.3778110988737491E-3</v>
      </c>
      <c r="E147" s="29">
        <f t="shared" si="40"/>
        <v>1.6835964667392667E-3</v>
      </c>
      <c r="F147" s="29">
        <f t="shared" si="40"/>
        <v>1.041071280193676E-3</v>
      </c>
      <c r="G147" s="29">
        <f t="shared" si="40"/>
        <v>4.0450484146467257E-2</v>
      </c>
    </row>
    <row r="148" spans="1:7" x14ac:dyDescent="0.45">
      <c r="A148" s="58">
        <v>44593</v>
      </c>
      <c r="B148" s="29">
        <f t="shared" si="40"/>
        <v>6.9461662107709208E-3</v>
      </c>
      <c r="C148" s="29">
        <f t="shared" si="40"/>
        <v>1.8196930737917626E-4</v>
      </c>
      <c r="D148" s="29">
        <f t="shared" si="40"/>
        <v>2.1917700169692283E-4</v>
      </c>
      <c r="E148" s="29">
        <f t="shared" si="40"/>
        <v>1.8611631386700554E-3</v>
      </c>
      <c r="F148" s="29">
        <f t="shared" si="40"/>
        <v>5.3705823612515361E-3</v>
      </c>
      <c r="G148" s="29">
        <f t="shared" si="40"/>
        <v>5.302983264516782E-4</v>
      </c>
    </row>
    <row r="149" spans="1:7" x14ac:dyDescent="0.45">
      <c r="A149" s="58">
        <v>44621</v>
      </c>
      <c r="B149" s="29">
        <f t="shared" si="40"/>
        <v>1.0974720606868779E-2</v>
      </c>
      <c r="C149" s="29">
        <f t="shared" si="40"/>
        <v>1.0679066353037227E-4</v>
      </c>
      <c r="D149" s="29">
        <f t="shared" si="40"/>
        <v>1.3381019731234108E-3</v>
      </c>
      <c r="E149" s="29">
        <f t="shared" si="40"/>
        <v>4.8981816502789658E-3</v>
      </c>
      <c r="F149" s="29">
        <f t="shared" si="40"/>
        <v>1.6586912255294225E-3</v>
      </c>
      <c r="G149" s="29">
        <f t="shared" si="40"/>
        <v>2.7752809378896313E-2</v>
      </c>
    </row>
    <row r="150" spans="1:7" x14ac:dyDescent="0.45">
      <c r="A150" s="58">
        <v>44652</v>
      </c>
      <c r="B150" s="29">
        <f t="shared" si="40"/>
        <v>1.4318305047418146E-3</v>
      </c>
      <c r="C150" s="29">
        <f t="shared" si="40"/>
        <v>1.7969135884522704E-3</v>
      </c>
      <c r="D150" s="29">
        <f t="shared" si="40"/>
        <v>1.0496493845769967E-2</v>
      </c>
      <c r="E150" s="29">
        <f t="shared" si="40"/>
        <v>1.9499777444163442E-2</v>
      </c>
      <c r="F150" s="29">
        <f t="shared" si="40"/>
        <v>1.4067486214564657E-2</v>
      </c>
      <c r="G150" s="29">
        <f t="shared" si="40"/>
        <v>2.7367424042309935E-2</v>
      </c>
    </row>
    <row r="151" spans="1:7" x14ac:dyDescent="0.45">
      <c r="A151" s="58">
        <v>44682</v>
      </c>
      <c r="B151" s="29">
        <f t="shared" si="40"/>
        <v>5.693818889930506E-4</v>
      </c>
      <c r="C151" s="29">
        <f t="shared" si="40"/>
        <v>6.600448655773221E-4</v>
      </c>
      <c r="D151" s="29">
        <f t="shared" si="40"/>
        <v>3.6581133943130294E-3</v>
      </c>
      <c r="E151" s="29">
        <f t="shared" si="40"/>
        <v>1.7249636529202785E-3</v>
      </c>
      <c r="F151" s="29">
        <f t="shared" si="40"/>
        <v>5.4662553104866908E-3</v>
      </c>
      <c r="G151" s="29">
        <f t="shared" si="40"/>
        <v>7.3291039270467267E-3</v>
      </c>
    </row>
    <row r="152" spans="1:7" x14ac:dyDescent="0.45">
      <c r="A152" s="58">
        <v>44713</v>
      </c>
      <c r="B152" s="29">
        <f t="shared" si="40"/>
        <v>1.6172796068408091E-2</v>
      </c>
      <c r="C152" s="29">
        <f t="shared" si="40"/>
        <v>1.9359275630774375E-4</v>
      </c>
      <c r="D152" s="29">
        <f t="shared" si="40"/>
        <v>2.996581898627611E-4</v>
      </c>
      <c r="E152" s="29">
        <f t="shared" si="40"/>
        <v>3.1798974190048228E-2</v>
      </c>
      <c r="F152" s="29">
        <f t="shared" si="40"/>
        <v>9.9794849405711959E-3</v>
      </c>
      <c r="G152" s="29">
        <f t="shared" si="40"/>
        <v>1.5844612669916878E-3</v>
      </c>
    </row>
    <row r="153" spans="1:7" x14ac:dyDescent="0.45">
      <c r="A153" s="58">
        <v>44743</v>
      </c>
      <c r="B153" s="29">
        <f t="shared" si="40"/>
        <v>5.8693793569040758E-3</v>
      </c>
      <c r="C153" s="29">
        <f t="shared" si="40"/>
        <v>4.2267803272202291E-4</v>
      </c>
      <c r="D153" s="29">
        <f t="shared" si="40"/>
        <v>1.1175568592059945E-2</v>
      </c>
      <c r="E153" s="29">
        <f t="shared" si="40"/>
        <v>7.7690173828800398E-3</v>
      </c>
      <c r="F153" s="29">
        <f t="shared" si="40"/>
        <v>2.4453393500101263E-2</v>
      </c>
      <c r="G153" s="29">
        <f t="shared" si="40"/>
        <v>1.7474536321979713E-2</v>
      </c>
    </row>
    <row r="154" spans="1:7" x14ac:dyDescent="0.45">
      <c r="A154" s="58">
        <v>44774</v>
      </c>
      <c r="B154" s="29">
        <f t="shared" si="40"/>
        <v>1.345908792692979E-5</v>
      </c>
      <c r="C154" s="29">
        <f t="shared" si="40"/>
        <v>2.0757416326897026E-3</v>
      </c>
      <c r="D154" s="29">
        <f t="shared" si="40"/>
        <v>8.8763359828490929E-3</v>
      </c>
      <c r="E154" s="29">
        <f t="shared" si="40"/>
        <v>3.744070445840614E-5</v>
      </c>
      <c r="F154" s="29">
        <f t="shared" si="40"/>
        <v>2.4524313620987513E-3</v>
      </c>
      <c r="G154" s="29">
        <f t="shared" si="40"/>
        <v>6.3612729886574357E-4</v>
      </c>
    </row>
    <row r="155" spans="1:7" x14ac:dyDescent="0.45">
      <c r="A155" s="58">
        <v>44805</v>
      </c>
      <c r="B155" s="29">
        <f t="shared" si="40"/>
        <v>2.3700173491844208E-3</v>
      </c>
      <c r="C155" s="29">
        <f t="shared" si="40"/>
        <v>1.0651845885227702E-2</v>
      </c>
      <c r="D155" s="29">
        <f t="shared" si="40"/>
        <v>4.643021842806626E-4</v>
      </c>
      <c r="E155" s="29">
        <f t="shared" si="40"/>
        <v>1.1484865644215879E-2</v>
      </c>
      <c r="F155" s="29">
        <f t="shared" si="40"/>
        <v>2.0731675141648392E-2</v>
      </c>
      <c r="G155" s="29">
        <f t="shared" si="40"/>
        <v>1.5901040881434774E-2</v>
      </c>
    </row>
    <row r="156" spans="1:7" x14ac:dyDescent="0.45">
      <c r="A156" s="58">
        <v>44835</v>
      </c>
      <c r="B156" s="29">
        <f t="shared" si="40"/>
        <v>4.7429201168131885E-4</v>
      </c>
      <c r="C156" s="29">
        <f t="shared" si="40"/>
        <v>4.4791605358287818E-3</v>
      </c>
      <c r="D156" s="29">
        <f t="shared" si="40"/>
        <v>1.0788982206146699E-2</v>
      </c>
      <c r="E156" s="29">
        <f t="shared" si="40"/>
        <v>3.355083839169512E-2</v>
      </c>
      <c r="F156" s="29">
        <f t="shared" si="40"/>
        <v>7.6610095131162195E-3</v>
      </c>
      <c r="G156" s="29">
        <f t="shared" si="40"/>
        <v>2.2911278925733539E-2</v>
      </c>
    </row>
    <row r="157" spans="1:7" x14ac:dyDescent="0.45">
      <c r="A157" s="58">
        <v>44866</v>
      </c>
      <c r="B157" s="29">
        <f t="shared" si="40"/>
        <v>5.825453042208154E-3</v>
      </c>
      <c r="C157" s="29">
        <f t="shared" si="40"/>
        <v>2.9657635121795797E-3</v>
      </c>
      <c r="D157" s="29">
        <f t="shared" si="40"/>
        <v>6.4087910445372511E-3</v>
      </c>
      <c r="E157" s="29">
        <f t="shared" si="40"/>
        <v>2.3829659667439955E-3</v>
      </c>
      <c r="F157" s="29">
        <f t="shared" si="40"/>
        <v>2.669945036204476E-3</v>
      </c>
      <c r="G157" s="29">
        <f t="shared" si="40"/>
        <v>6.8043813302682415E-4</v>
      </c>
    </row>
    <row r="158" spans="1:7" x14ac:dyDescent="0.45">
      <c r="A158" s="58">
        <v>44896</v>
      </c>
      <c r="B158" s="29">
        <f t="shared" si="40"/>
        <v>6.4322185169905163E-3</v>
      </c>
      <c r="C158" s="29">
        <f t="shared" si="40"/>
        <v>3.5596044225616895E-7</v>
      </c>
      <c r="D158" s="29">
        <f t="shared" si="40"/>
        <v>4.338633779575943E-5</v>
      </c>
      <c r="E158" s="29">
        <f t="shared" si="40"/>
        <v>1.7870193715337407E-2</v>
      </c>
      <c r="F158" s="29">
        <f t="shared" si="40"/>
        <v>2.1080227279800516E-2</v>
      </c>
      <c r="G158" s="29">
        <f t="shared" si="40"/>
        <v>8.8190807441873281E-3</v>
      </c>
    </row>
    <row r="159" spans="1:7" x14ac:dyDescent="0.45">
      <c r="A159" s="1"/>
      <c r="B159" s="3"/>
      <c r="C159" s="3"/>
      <c r="D159" s="3"/>
      <c r="E159" s="3"/>
      <c r="F159" s="3"/>
      <c r="G159" s="3"/>
    </row>
    <row r="160" spans="1:7" x14ac:dyDescent="0.45">
      <c r="B160" s="3" t="s">
        <v>0</v>
      </c>
      <c r="F160" s="3"/>
      <c r="G160" s="3"/>
    </row>
    <row r="161" spans="1:7" x14ac:dyDescent="0.45">
      <c r="A161" s="4" t="s">
        <v>6</v>
      </c>
      <c r="B161" s="26">
        <f>SUM(B123:B158)/(B164)</f>
        <v>7.7634788587128568E-3</v>
      </c>
      <c r="C161" s="26">
        <f t="shared" ref="C161:G161" si="41">SUM(C123:C158)/(C164)</f>
        <v>4.2294456720379531E-3</v>
      </c>
      <c r="D161" s="26">
        <f t="shared" si="41"/>
        <v>8.015732266863548E-3</v>
      </c>
      <c r="E161" s="26">
        <f t="shared" si="41"/>
        <v>1.0588404186326271E-2</v>
      </c>
      <c r="F161" s="26">
        <f t="shared" si="41"/>
        <v>8.6999134808470619E-3</v>
      </c>
      <c r="G161" s="26">
        <f t="shared" si="41"/>
        <v>6.7586120146176185E-3</v>
      </c>
    </row>
    <row r="162" spans="1:7" x14ac:dyDescent="0.45">
      <c r="A162" s="5" t="s">
        <v>7</v>
      </c>
      <c r="B162" s="26">
        <f>B161^(1/2)</f>
        <v>8.8110605824230137E-2</v>
      </c>
      <c r="C162" s="26">
        <f t="shared" ref="C162:G162" si="42">C161^(1/2)</f>
        <v>6.5034188486041353E-2</v>
      </c>
      <c r="D162" s="26">
        <f t="shared" si="42"/>
        <v>8.9530621950612788E-2</v>
      </c>
      <c r="E162" s="26">
        <f t="shared" si="42"/>
        <v>0.10289997175085264</v>
      </c>
      <c r="F162" s="26">
        <f t="shared" si="42"/>
        <v>9.3273326738393239E-2</v>
      </c>
      <c r="G162" s="26">
        <f t="shared" si="42"/>
        <v>8.221077797112504E-2</v>
      </c>
    </row>
    <row r="163" spans="1:7" x14ac:dyDescent="0.45">
      <c r="B163" t="s">
        <v>0</v>
      </c>
    </row>
    <row r="164" spans="1:7" x14ac:dyDescent="0.45">
      <c r="A164" t="s">
        <v>8</v>
      </c>
      <c r="B164" s="27">
        <f>COUNT(B84:B119)</f>
        <v>36</v>
      </c>
      <c r="C164" s="27">
        <f t="shared" ref="C164:G164" si="43">COUNT(C84:C119)</f>
        <v>36</v>
      </c>
      <c r="D164" s="27">
        <f t="shared" si="43"/>
        <v>36</v>
      </c>
      <c r="E164" s="27">
        <f t="shared" si="43"/>
        <v>36</v>
      </c>
      <c r="F164" s="27">
        <f t="shared" si="43"/>
        <v>36</v>
      </c>
      <c r="G164" s="27">
        <f t="shared" si="43"/>
        <v>36</v>
      </c>
    </row>
    <row r="166" spans="1:7" x14ac:dyDescent="0.45">
      <c r="B166" s="64"/>
      <c r="C166" s="64"/>
      <c r="D166" s="64"/>
      <c r="E166" s="64"/>
      <c r="F166" s="64"/>
      <c r="G166" s="64"/>
    </row>
    <row r="167" spans="1:7" x14ac:dyDescent="0.45">
      <c r="B167" s="57"/>
      <c r="C167" s="57"/>
      <c r="D167" s="57"/>
      <c r="E167" s="57"/>
      <c r="F167" s="57"/>
      <c r="G167" s="5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H61"/>
  <sheetViews>
    <sheetView zoomScaleNormal="100" workbookViewId="0">
      <selection activeCell="B43" sqref="B43"/>
    </sheetView>
  </sheetViews>
  <sheetFormatPr defaultColWidth="8.796875" defaultRowHeight="14.25" x14ac:dyDescent="0.45"/>
  <cols>
    <col min="1" max="1" width="11.796875" customWidth="1"/>
    <col min="2" max="4" width="10.73046875" bestFit="1" customWidth="1"/>
    <col min="5" max="6" width="10.06640625" bestFit="1" customWidth="1"/>
    <col min="7" max="7" width="10.73046875" bestFit="1" customWidth="1"/>
  </cols>
  <sheetData>
    <row r="1" spans="1:7" ht="14.65" thickBot="1" x14ac:dyDescent="0.5"/>
    <row r="2" spans="1:7" ht="14.65" thickBot="1" x14ac:dyDescent="0.5">
      <c r="A2" s="71" t="s">
        <v>10</v>
      </c>
      <c r="B2" s="72"/>
      <c r="C2" s="72"/>
      <c r="D2" s="72"/>
      <c r="E2" s="73"/>
    </row>
    <row r="3" spans="1:7" x14ac:dyDescent="0.45">
      <c r="A3" s="7"/>
      <c r="B3" s="7"/>
    </row>
    <row r="4" spans="1:7" ht="20.65" x14ac:dyDescent="0.55000000000000004">
      <c r="A4" s="6" t="s">
        <v>11</v>
      </c>
    </row>
    <row r="5" spans="1:7" ht="14.65" thickBot="1" x14ac:dyDescent="0.5"/>
    <row r="6" spans="1:7" ht="14.65" thickBot="1" x14ac:dyDescent="0.5">
      <c r="A6" s="30" t="s">
        <v>12</v>
      </c>
      <c r="B6" s="30"/>
      <c r="C6" s="31" t="s">
        <v>0</v>
      </c>
      <c r="D6" s="31"/>
      <c r="E6" s="31"/>
      <c r="F6" s="31"/>
      <c r="G6" s="32"/>
    </row>
    <row r="7" spans="1:7" x14ac:dyDescent="0.45">
      <c r="A7" s="8"/>
      <c r="B7" s="45" t="s">
        <v>36</v>
      </c>
      <c r="C7" s="45" t="s">
        <v>37</v>
      </c>
      <c r="D7" s="45" t="s">
        <v>38</v>
      </c>
      <c r="E7" s="45" t="s">
        <v>39</v>
      </c>
      <c r="F7" s="45" t="s">
        <v>40</v>
      </c>
      <c r="G7" s="45" t="s">
        <v>43</v>
      </c>
    </row>
    <row r="8" spans="1:7" x14ac:dyDescent="0.45">
      <c r="A8" s="7" t="s">
        <v>36</v>
      </c>
      <c r="B8" s="36">
        <f t="array" ref="B8:G13">MMULT(TRANSPOSE(Data_Prices_Returns!B84:G119),Data_Prices_Returns!B84:G119)</f>
        <v>0.27948523891366284</v>
      </c>
      <c r="C8" s="36">
        <v>9.8324712884168899E-2</v>
      </c>
      <c r="D8" s="36">
        <v>0.16501256771024822</v>
      </c>
      <c r="E8" s="36">
        <v>0.20427242580480137</v>
      </c>
      <c r="F8" s="36">
        <v>0.17200794179176246</v>
      </c>
      <c r="G8" s="36">
        <v>4.9952358613260396E-2</v>
      </c>
    </row>
    <row r="9" spans="1:7" x14ac:dyDescent="0.45">
      <c r="A9" s="7" t="s">
        <v>37</v>
      </c>
      <c r="B9" s="36">
        <v>9.8324712884168899E-2</v>
      </c>
      <c r="C9" s="36">
        <v>0.15226004419336631</v>
      </c>
      <c r="D9" s="36">
        <v>0.12729445516112622</v>
      </c>
      <c r="E9" s="36">
        <v>0.1417094188104443</v>
      </c>
      <c r="F9" s="36">
        <v>9.1087370484826846E-2</v>
      </c>
      <c r="G9" s="36">
        <v>4.726053451203404E-2</v>
      </c>
    </row>
    <row r="10" spans="1:7" x14ac:dyDescent="0.45">
      <c r="A10" s="7" t="s">
        <v>38</v>
      </c>
      <c r="B10" s="36">
        <v>0.16501256771024822</v>
      </c>
      <c r="C10" s="36">
        <v>0.12729445516112622</v>
      </c>
      <c r="D10" s="36">
        <v>0.28856636160708771</v>
      </c>
      <c r="E10" s="36">
        <v>0.18341960494192674</v>
      </c>
      <c r="F10" s="36">
        <v>0.12466000414217518</v>
      </c>
      <c r="G10" s="36">
        <v>6.925111577644058E-2</v>
      </c>
    </row>
    <row r="11" spans="1:7" x14ac:dyDescent="0.45">
      <c r="A11" s="7" t="s">
        <v>39</v>
      </c>
      <c r="B11" s="36">
        <v>0.20427242580480137</v>
      </c>
      <c r="C11" s="36">
        <v>0.1417094188104443</v>
      </c>
      <c r="D11" s="36">
        <v>0.18341960494192674</v>
      </c>
      <c r="E11" s="36">
        <v>0.38118255070774576</v>
      </c>
      <c r="F11" s="36">
        <v>0.17011168482467776</v>
      </c>
      <c r="G11" s="36">
        <v>0.1234671282955475</v>
      </c>
    </row>
    <row r="12" spans="1:7" x14ac:dyDescent="0.45">
      <c r="A12" s="7" t="s">
        <v>40</v>
      </c>
      <c r="B12" s="36">
        <v>0.17200794179176246</v>
      </c>
      <c r="C12" s="36">
        <v>9.1087370484826846E-2</v>
      </c>
      <c r="D12" s="36">
        <v>0.12466000414217518</v>
      </c>
      <c r="E12" s="36">
        <v>0.17011168482467776</v>
      </c>
      <c r="F12" s="36">
        <v>0.31319688531049422</v>
      </c>
      <c r="G12" s="36">
        <v>0.11472850228372654</v>
      </c>
    </row>
    <row r="13" spans="1:7" x14ac:dyDescent="0.45">
      <c r="A13" s="7" t="s">
        <v>43</v>
      </c>
      <c r="B13" s="36">
        <v>4.9952358613260396E-2</v>
      </c>
      <c r="C13" s="36">
        <v>4.726053451203404E-2</v>
      </c>
      <c r="D13" s="36">
        <v>6.925111577644058E-2</v>
      </c>
      <c r="E13" s="36">
        <v>0.1234671282955475</v>
      </c>
      <c r="F13" s="36">
        <v>0.11472850228372654</v>
      </c>
      <c r="G13" s="36">
        <v>0.24331003252623426</v>
      </c>
    </row>
    <row r="17" spans="1:8" ht="20.65" x14ac:dyDescent="0.55000000000000004">
      <c r="A17" s="6" t="s">
        <v>13</v>
      </c>
    </row>
    <row r="18" spans="1:8" ht="14.65" thickBot="1" x14ac:dyDescent="0.5"/>
    <row r="19" spans="1:8" ht="14.65" thickBot="1" x14ac:dyDescent="0.5">
      <c r="A19" s="30" t="s">
        <v>12</v>
      </c>
      <c r="B19" s="30"/>
      <c r="C19" s="31" t="s">
        <v>0</v>
      </c>
      <c r="D19" s="31"/>
      <c r="E19" s="31"/>
      <c r="F19" s="31"/>
      <c r="G19" s="32"/>
    </row>
    <row r="20" spans="1:8" x14ac:dyDescent="0.45">
      <c r="A20" s="8"/>
      <c r="B20" s="45" t="s">
        <v>36</v>
      </c>
      <c r="C20" s="45" t="s">
        <v>37</v>
      </c>
      <c r="D20" s="45" t="s">
        <v>38</v>
      </c>
      <c r="E20" s="45" t="s">
        <v>39</v>
      </c>
      <c r="F20" s="45" t="s">
        <v>40</v>
      </c>
      <c r="G20" s="45" t="s">
        <v>43</v>
      </c>
    </row>
    <row r="21" spans="1:8" x14ac:dyDescent="0.45">
      <c r="A21" s="7" t="s">
        <v>36</v>
      </c>
      <c r="B21" s="44">
        <f>B8/(Data_Prices_Returns!$B$164)</f>
        <v>7.7634788587128568E-3</v>
      </c>
      <c r="C21" s="44">
        <f>C8/(Data_Prices_Returns!$B$164)</f>
        <v>2.7312420245602471E-3</v>
      </c>
      <c r="D21" s="44">
        <f>D8/(Data_Prices_Returns!$B$164)</f>
        <v>4.5836824363957836E-3</v>
      </c>
      <c r="E21" s="44">
        <f>E8/(Data_Prices_Returns!$B$164)</f>
        <v>5.6742340501333716E-3</v>
      </c>
      <c r="F21" s="44">
        <f>F8/(Data_Prices_Returns!$B$164)</f>
        <v>4.7779983831045128E-3</v>
      </c>
      <c r="G21" s="44">
        <f>G8/(Data_Prices_Returns!$B$164)</f>
        <v>1.3875655170350111E-3</v>
      </c>
    </row>
    <row r="22" spans="1:8" x14ac:dyDescent="0.45">
      <c r="A22" s="7" t="s">
        <v>37</v>
      </c>
      <c r="B22" s="44">
        <f>B9/(Data_Prices_Returns!$B$164)</f>
        <v>2.7312420245602471E-3</v>
      </c>
      <c r="C22" s="44">
        <f>C9/(Data_Prices_Returns!$B$164)</f>
        <v>4.2294456720379531E-3</v>
      </c>
      <c r="D22" s="44">
        <f>D9/(Data_Prices_Returns!$B$164)</f>
        <v>3.5359570878090618E-3</v>
      </c>
      <c r="E22" s="44">
        <f>E9/(Data_Prices_Returns!$B$164)</f>
        <v>3.9363727447345636E-3</v>
      </c>
      <c r="F22" s="44">
        <f>F9/(Data_Prices_Returns!$B$164)</f>
        <v>2.5302047356896345E-3</v>
      </c>
      <c r="G22" s="44">
        <f>G9/(Data_Prices_Returns!$B$164)</f>
        <v>1.3127926253342788E-3</v>
      </c>
    </row>
    <row r="23" spans="1:8" x14ac:dyDescent="0.45">
      <c r="A23" s="7" t="s">
        <v>38</v>
      </c>
      <c r="B23" s="44">
        <f>B10/(Data_Prices_Returns!$B$164)</f>
        <v>4.5836824363957836E-3</v>
      </c>
      <c r="C23" s="44">
        <f>C10/(Data_Prices_Returns!$B$164)</f>
        <v>3.5359570878090618E-3</v>
      </c>
      <c r="D23" s="44">
        <f>D10/(Data_Prices_Returns!$B$164)</f>
        <v>8.015732266863548E-3</v>
      </c>
      <c r="E23" s="44">
        <f>E10/(Data_Prices_Returns!$B$164)</f>
        <v>5.0949890261646315E-3</v>
      </c>
      <c r="F23" s="44">
        <f>F10/(Data_Prices_Returns!$B$164)</f>
        <v>3.4627778928381994E-3</v>
      </c>
      <c r="G23" s="44">
        <f>G10/(Data_Prices_Returns!$B$164)</f>
        <v>1.9236421049011272E-3</v>
      </c>
    </row>
    <row r="24" spans="1:8" x14ac:dyDescent="0.45">
      <c r="A24" s="7" t="s">
        <v>39</v>
      </c>
      <c r="B24" s="44">
        <f>B11/(Data_Prices_Returns!$B$164)</f>
        <v>5.6742340501333716E-3</v>
      </c>
      <c r="C24" s="44">
        <f>C11/(Data_Prices_Returns!$B$164)</f>
        <v>3.9363727447345636E-3</v>
      </c>
      <c r="D24" s="44">
        <f>D11/(Data_Prices_Returns!$B$164)</f>
        <v>5.0949890261646315E-3</v>
      </c>
      <c r="E24" s="44">
        <f>E11/(Data_Prices_Returns!$B$164)</f>
        <v>1.0588404186326271E-2</v>
      </c>
      <c r="F24" s="44">
        <f>F11/(Data_Prices_Returns!$B$164)</f>
        <v>4.7253245784632707E-3</v>
      </c>
      <c r="G24" s="44">
        <f>G11/(Data_Prices_Returns!$B$164)</f>
        <v>3.429642452654097E-3</v>
      </c>
    </row>
    <row r="25" spans="1:8" x14ac:dyDescent="0.45">
      <c r="A25" s="7" t="s">
        <v>40</v>
      </c>
      <c r="B25" s="44">
        <f>B12/(Data_Prices_Returns!$B$164)</f>
        <v>4.7779983831045128E-3</v>
      </c>
      <c r="C25" s="44">
        <f>C12/(Data_Prices_Returns!$B$164)</f>
        <v>2.5302047356896345E-3</v>
      </c>
      <c r="D25" s="44">
        <f>D12/(Data_Prices_Returns!$B$164)</f>
        <v>3.4627778928381994E-3</v>
      </c>
      <c r="E25" s="44">
        <f>E12/(Data_Prices_Returns!$B$164)</f>
        <v>4.7253245784632707E-3</v>
      </c>
      <c r="F25" s="44">
        <f>F12/(Data_Prices_Returns!$B$164)</f>
        <v>8.6999134808470619E-3</v>
      </c>
      <c r="G25" s="44">
        <f>G12/(Data_Prices_Returns!$B$164)</f>
        <v>3.1869028412146259E-3</v>
      </c>
    </row>
    <row r="26" spans="1:8" x14ac:dyDescent="0.45">
      <c r="A26" s="7" t="s">
        <v>43</v>
      </c>
      <c r="B26" s="44">
        <f>B13/(Data_Prices_Returns!$B$164)</f>
        <v>1.3875655170350111E-3</v>
      </c>
      <c r="C26" s="44">
        <f>C13/(Data_Prices_Returns!$B$164)</f>
        <v>1.3127926253342788E-3</v>
      </c>
      <c r="D26" s="44">
        <f>D13/(Data_Prices_Returns!$B$164)</f>
        <v>1.9236421049011272E-3</v>
      </c>
      <c r="E26" s="44">
        <f>E13/(Data_Prices_Returns!$B$164)</f>
        <v>3.429642452654097E-3</v>
      </c>
      <c r="F26" s="44">
        <f>F13/(Data_Prices_Returns!$B$164)</f>
        <v>3.1869028412146259E-3</v>
      </c>
      <c r="G26" s="44">
        <f>G13/(Data_Prices_Returns!$B$164)</f>
        <v>6.7586120146176185E-3</v>
      </c>
    </row>
    <row r="28" spans="1:8" ht="14.65" thickBot="1" x14ac:dyDescent="0.5"/>
    <row r="29" spans="1:8" ht="14.65" thickBot="1" x14ac:dyDescent="0.5">
      <c r="A29" s="71" t="s">
        <v>14</v>
      </c>
      <c r="B29" s="72"/>
      <c r="C29" s="72"/>
      <c r="D29" s="72"/>
      <c r="E29" s="73"/>
    </row>
    <row r="30" spans="1:8" ht="14.65" thickBot="1" x14ac:dyDescent="0.5">
      <c r="A30" s="7"/>
    </row>
    <row r="31" spans="1:8" ht="43.15" thickBot="1" x14ac:dyDescent="0.5">
      <c r="A31" s="33" t="s">
        <v>15</v>
      </c>
      <c r="B31" s="34" t="s">
        <v>16</v>
      </c>
    </row>
    <row r="32" spans="1:8" x14ac:dyDescent="0.45">
      <c r="A32" t="s">
        <v>36</v>
      </c>
      <c r="B32" s="37">
        <f>Data_Prices_Returns!B162</f>
        <v>8.8110605824230137E-2</v>
      </c>
      <c r="C32" s="7"/>
      <c r="D32" s="7"/>
      <c r="E32" s="7"/>
      <c r="F32" s="7"/>
      <c r="G32" s="7"/>
      <c r="H32" s="7"/>
    </row>
    <row r="33" spans="1:7" x14ac:dyDescent="0.45">
      <c r="A33" t="s">
        <v>37</v>
      </c>
      <c r="B33" s="37">
        <f>Data_Prices_Returns!C162</f>
        <v>6.5034188486041353E-2</v>
      </c>
    </row>
    <row r="34" spans="1:7" x14ac:dyDescent="0.45">
      <c r="A34" t="s">
        <v>38</v>
      </c>
      <c r="B34" s="37">
        <f>Data_Prices_Returns!D162</f>
        <v>8.9530621950612788E-2</v>
      </c>
    </row>
    <row r="35" spans="1:7" x14ac:dyDescent="0.45">
      <c r="A35" t="s">
        <v>39</v>
      </c>
      <c r="B35" s="37">
        <f>Data_Prices_Returns!E162</f>
        <v>0.10289997175085264</v>
      </c>
    </row>
    <row r="36" spans="1:7" x14ac:dyDescent="0.45">
      <c r="A36" t="s">
        <v>40</v>
      </c>
      <c r="B36" s="37">
        <f>Data_Prices_Returns!F162</f>
        <v>9.3273326738393239E-2</v>
      </c>
    </row>
    <row r="37" spans="1:7" x14ac:dyDescent="0.45">
      <c r="A37" t="s">
        <v>43</v>
      </c>
      <c r="B37" s="37">
        <f>Data_Prices_Returns!G162</f>
        <v>8.221077797112504E-2</v>
      </c>
    </row>
    <row r="38" spans="1:7" x14ac:dyDescent="0.45">
      <c r="A38" s="7"/>
      <c r="B38" s="7"/>
    </row>
    <row r="40" spans="1:7" ht="14.65" thickBot="1" x14ac:dyDescent="0.5"/>
    <row r="41" spans="1:7" ht="14.65" thickBot="1" x14ac:dyDescent="0.5">
      <c r="A41" s="30" t="s">
        <v>12</v>
      </c>
      <c r="B41" s="31"/>
      <c r="C41" s="35" t="s">
        <v>17</v>
      </c>
      <c r="D41" s="31"/>
      <c r="E41" s="31"/>
      <c r="F41" s="31"/>
      <c r="G41" s="32"/>
    </row>
    <row r="42" spans="1:7" x14ac:dyDescent="0.45">
      <c r="A42" s="9"/>
      <c r="B42" s="45" t="s">
        <v>36</v>
      </c>
      <c r="C42" s="45" t="s">
        <v>37</v>
      </c>
      <c r="D42" s="45" t="s">
        <v>38</v>
      </c>
      <c r="E42" s="45" t="s">
        <v>39</v>
      </c>
      <c r="F42" s="45" t="s">
        <v>40</v>
      </c>
      <c r="G42" s="45" t="s">
        <v>43</v>
      </c>
    </row>
    <row r="43" spans="1:7" x14ac:dyDescent="0.45">
      <c r="A43" s="45" t="s">
        <v>36</v>
      </c>
      <c r="B43" s="36">
        <f t="array" ref="B43:G48">MMULT(B32:B37,TRANSPOSE(B32:B37))</f>
        <v>7.7634788587128576E-3</v>
      </c>
      <c r="C43" s="36">
        <v>5.7302017467922755E-3</v>
      </c>
      <c r="D43" s="36">
        <v>7.8885973398886092E-3</v>
      </c>
      <c r="E43" s="36">
        <v>9.0665788502637921E-3</v>
      </c>
      <c r="F43" s="36">
        <v>8.2183693261611915E-3</v>
      </c>
      <c r="G43" s="36">
        <v>7.2436414523171008E-3</v>
      </c>
    </row>
    <row r="44" spans="1:7" x14ac:dyDescent="0.45">
      <c r="A44" s="45" t="s">
        <v>37</v>
      </c>
      <c r="B44" s="36">
        <v>5.7302017467922755E-3</v>
      </c>
      <c r="C44" s="36">
        <v>4.229445672037954E-3</v>
      </c>
      <c r="D44" s="36">
        <v>5.8225513432086633E-3</v>
      </c>
      <c r="E44" s="36">
        <v>6.6920161580532808E-3</v>
      </c>
      <c r="F44" s="36">
        <v>6.0659551118247869E-3</v>
      </c>
      <c r="G44" s="36">
        <v>5.3465112301582423E-3</v>
      </c>
    </row>
    <row r="45" spans="1:7" x14ac:dyDescent="0.45">
      <c r="A45" s="45" t="s">
        <v>38</v>
      </c>
      <c r="B45" s="36">
        <v>7.8885973398886092E-3</v>
      </c>
      <c r="C45" s="36">
        <v>5.8225513432086633E-3</v>
      </c>
      <c r="D45" s="36">
        <v>8.015732266863548E-3</v>
      </c>
      <c r="E45" s="36">
        <v>9.2126984695543226E-3</v>
      </c>
      <c r="F45" s="36">
        <v>8.3508189542910692E-3</v>
      </c>
      <c r="G45" s="36">
        <v>7.3603820827985618E-3</v>
      </c>
    </row>
    <row r="46" spans="1:7" x14ac:dyDescent="0.45">
      <c r="A46" s="45" t="s">
        <v>39</v>
      </c>
      <c r="B46" s="36">
        <v>9.0665788502637921E-3</v>
      </c>
      <c r="C46" s="36">
        <v>6.6920161580532808E-3</v>
      </c>
      <c r="D46" s="36">
        <v>9.2126984695543226E-3</v>
      </c>
      <c r="E46" s="36">
        <v>1.0588404186326271E-2</v>
      </c>
      <c r="F46" s="36">
        <v>9.597822686488712E-3</v>
      </c>
      <c r="G46" s="36">
        <v>8.4594867308443854E-3</v>
      </c>
    </row>
    <row r="47" spans="1:7" x14ac:dyDescent="0.45">
      <c r="A47" s="45" t="s">
        <v>40</v>
      </c>
      <c r="B47" s="36">
        <v>8.2183693261611915E-3</v>
      </c>
      <c r="C47" s="36">
        <v>6.0659551118247869E-3</v>
      </c>
      <c r="D47" s="36">
        <v>8.3508189542910692E-3</v>
      </c>
      <c r="E47" s="36">
        <v>9.597822686488712E-3</v>
      </c>
      <c r="F47" s="36">
        <v>8.6999134808470636E-3</v>
      </c>
      <c r="G47" s="36">
        <v>7.6680727551182472E-3</v>
      </c>
    </row>
    <row r="48" spans="1:7" x14ac:dyDescent="0.45">
      <c r="A48" s="45" t="s">
        <v>43</v>
      </c>
      <c r="B48" s="36">
        <v>7.2436414523171008E-3</v>
      </c>
      <c r="C48" s="36">
        <v>5.3465112301582423E-3</v>
      </c>
      <c r="D48" s="36">
        <v>7.3603820827985618E-3</v>
      </c>
      <c r="E48" s="36">
        <v>8.4594867308443854E-3</v>
      </c>
      <c r="F48" s="36">
        <v>7.6680727551182472E-3</v>
      </c>
      <c r="G48" s="36">
        <v>6.7586120146176185E-3</v>
      </c>
    </row>
    <row r="51" spans="1:7" ht="14.65" thickBot="1" x14ac:dyDescent="0.5"/>
    <row r="52" spans="1:7" ht="14.65" thickBot="1" x14ac:dyDescent="0.5">
      <c r="A52" s="71" t="s">
        <v>18</v>
      </c>
      <c r="B52" s="72"/>
      <c r="C52" s="72"/>
      <c r="D52" s="72"/>
      <c r="E52" s="72"/>
      <c r="F52" s="31"/>
      <c r="G52" s="32"/>
    </row>
    <row r="53" spans="1:7" ht="14.65" thickBot="1" x14ac:dyDescent="0.5"/>
    <row r="54" spans="1:7" ht="14.65" thickBot="1" x14ac:dyDescent="0.5">
      <c r="A54" s="30" t="s">
        <v>0</v>
      </c>
      <c r="B54" s="31"/>
      <c r="C54" s="35" t="s">
        <v>19</v>
      </c>
      <c r="D54" s="31"/>
      <c r="E54" s="31"/>
      <c r="F54" s="31"/>
      <c r="G54" s="32"/>
    </row>
    <row r="55" spans="1:7" x14ac:dyDescent="0.45">
      <c r="A55" s="9"/>
      <c r="B55" s="45" t="s">
        <v>36</v>
      </c>
      <c r="C55" s="45" t="s">
        <v>37</v>
      </c>
      <c r="D55" s="45" t="s">
        <v>38</v>
      </c>
      <c r="E55" s="45" t="s">
        <v>39</v>
      </c>
      <c r="F55" s="45" t="s">
        <v>40</v>
      </c>
      <c r="G55" s="45" t="s">
        <v>43</v>
      </c>
    </row>
    <row r="56" spans="1:7" x14ac:dyDescent="0.45">
      <c r="A56" s="45" t="s">
        <v>36</v>
      </c>
      <c r="B56" s="36">
        <f>B21/B43</f>
        <v>0.99999999999999989</v>
      </c>
      <c r="C56" s="36">
        <f t="shared" ref="C56:G56" si="0">C21/C43</f>
        <v>0.47663976684401665</v>
      </c>
      <c r="D56" s="36">
        <f t="shared" si="0"/>
        <v>0.58105164187027791</v>
      </c>
      <c r="E56" s="36">
        <f t="shared" si="0"/>
        <v>0.62584069954548294</v>
      </c>
      <c r="F56" s="36">
        <f t="shared" si="0"/>
        <v>0.58138034365222679</v>
      </c>
      <c r="G56" s="36">
        <f t="shared" si="0"/>
        <v>0.19155634996140727</v>
      </c>
    </row>
    <row r="57" spans="1:7" x14ac:dyDescent="0.45">
      <c r="A57" s="45" t="s">
        <v>37</v>
      </c>
      <c r="B57" s="36">
        <f t="shared" ref="B57:G61" si="1">B22/B44</f>
        <v>0.47663976684401665</v>
      </c>
      <c r="C57" s="36">
        <f t="shared" si="1"/>
        <v>0.99999999999999978</v>
      </c>
      <c r="D57" s="36">
        <f t="shared" si="1"/>
        <v>0.60728654491528855</v>
      </c>
      <c r="E57" s="36">
        <f t="shared" si="1"/>
        <v>0.58821925287754551</v>
      </c>
      <c r="F57" s="36">
        <f t="shared" si="1"/>
        <v>0.41711563785846867</v>
      </c>
      <c r="G57" s="36">
        <f t="shared" si="1"/>
        <v>0.24554191861211591</v>
      </c>
    </row>
    <row r="58" spans="1:7" x14ac:dyDescent="0.45">
      <c r="A58" s="45" t="s">
        <v>38</v>
      </c>
      <c r="B58" s="36">
        <f t="shared" si="1"/>
        <v>0.58105164187027791</v>
      </c>
      <c r="C58" s="36">
        <f t="shared" si="1"/>
        <v>0.60728654491528855</v>
      </c>
      <c r="D58" s="36">
        <f t="shared" si="1"/>
        <v>1</v>
      </c>
      <c r="E58" s="36">
        <f t="shared" si="1"/>
        <v>0.55303981162547577</v>
      </c>
      <c r="F58" s="36">
        <f t="shared" si="1"/>
        <v>0.41466326976935008</v>
      </c>
      <c r="G58" s="36">
        <f t="shared" si="1"/>
        <v>0.26135084880943038</v>
      </c>
    </row>
    <row r="59" spans="1:7" x14ac:dyDescent="0.45">
      <c r="A59" s="45" t="s">
        <v>39</v>
      </c>
      <c r="B59" s="36">
        <f t="shared" si="1"/>
        <v>0.62584069954548294</v>
      </c>
      <c r="C59" s="36">
        <f t="shared" si="1"/>
        <v>0.58821925287754551</v>
      </c>
      <c r="D59" s="36">
        <f t="shared" si="1"/>
        <v>0.55303981162547577</v>
      </c>
      <c r="E59" s="36">
        <f t="shared" si="1"/>
        <v>1</v>
      </c>
      <c r="F59" s="36">
        <f t="shared" si="1"/>
        <v>0.49233297309350416</v>
      </c>
      <c r="G59" s="36">
        <f t="shared" si="1"/>
        <v>0.40541968582433918</v>
      </c>
    </row>
    <row r="60" spans="1:7" x14ac:dyDescent="0.45">
      <c r="A60" s="45" t="s">
        <v>40</v>
      </c>
      <c r="B60" s="36">
        <f t="shared" si="1"/>
        <v>0.58138034365222679</v>
      </c>
      <c r="C60" s="36">
        <f t="shared" si="1"/>
        <v>0.41711563785846867</v>
      </c>
      <c r="D60" s="36">
        <f t="shared" si="1"/>
        <v>0.41466326976935008</v>
      </c>
      <c r="E60" s="36">
        <f t="shared" si="1"/>
        <v>0.49233297309350416</v>
      </c>
      <c r="F60" s="36">
        <f t="shared" si="1"/>
        <v>0.99999999999999978</v>
      </c>
      <c r="G60" s="36">
        <f t="shared" si="1"/>
        <v>0.41560675582889428</v>
      </c>
    </row>
    <row r="61" spans="1:7" x14ac:dyDescent="0.45">
      <c r="A61" s="45" t="s">
        <v>43</v>
      </c>
      <c r="B61" s="36">
        <f t="shared" si="1"/>
        <v>0.19155634996140727</v>
      </c>
      <c r="C61" s="36">
        <f t="shared" si="1"/>
        <v>0.24554191861211591</v>
      </c>
      <c r="D61" s="36">
        <f t="shared" si="1"/>
        <v>0.26135084880943038</v>
      </c>
      <c r="E61" s="36">
        <f t="shared" si="1"/>
        <v>0.40541968582433918</v>
      </c>
      <c r="F61" s="36">
        <f t="shared" si="1"/>
        <v>0.41560675582889428</v>
      </c>
      <c r="G61" s="36">
        <f t="shared" si="1"/>
        <v>1</v>
      </c>
    </row>
  </sheetData>
  <mergeCells count="3">
    <mergeCell ref="A2:E2"/>
    <mergeCell ref="A29:E29"/>
    <mergeCell ref="A52:E5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XFD1048555"/>
  <sheetViews>
    <sheetView tabSelected="1" workbookViewId="0">
      <selection activeCell="I16" sqref="I16"/>
    </sheetView>
  </sheetViews>
  <sheetFormatPr defaultColWidth="8.796875" defaultRowHeight="14.25" x14ac:dyDescent="0.45"/>
  <cols>
    <col min="4" max="4" width="12.265625" customWidth="1"/>
    <col min="5" max="5" width="22" customWidth="1"/>
    <col min="6" max="6" width="12.06640625" customWidth="1"/>
    <col min="9" max="9" width="26.06640625" customWidth="1"/>
  </cols>
  <sheetData>
    <row r="1" spans="1:17" ht="14.65" thickBot="1" x14ac:dyDescent="0.5">
      <c r="A1" s="56" t="s">
        <v>42</v>
      </c>
      <c r="B1" s="50"/>
      <c r="C1" s="51"/>
      <c r="D1" s="52"/>
      <c r="E1" s="75" t="s">
        <v>20</v>
      </c>
      <c r="F1" s="76"/>
      <c r="G1" s="76"/>
      <c r="H1" s="76"/>
      <c r="K1" s="74" t="s">
        <v>21</v>
      </c>
      <c r="L1" s="74"/>
      <c r="M1" s="74"/>
      <c r="N1" s="74"/>
      <c r="O1" s="74"/>
    </row>
    <row r="2" spans="1:17" ht="15.75" x14ac:dyDescent="0.5">
      <c r="A2" s="4"/>
      <c r="B2" s="54" t="s">
        <v>22</v>
      </c>
      <c r="C2" s="55" t="s">
        <v>23</v>
      </c>
      <c r="D2" s="54" t="s">
        <v>34</v>
      </c>
      <c r="E2" s="69" t="s">
        <v>52</v>
      </c>
      <c r="F2" s="69" t="s">
        <v>24</v>
      </c>
      <c r="G2" s="47" t="s">
        <v>53</v>
      </c>
      <c r="H2" s="47" t="s">
        <v>54</v>
      </c>
      <c r="K2" s="43"/>
      <c r="L2" s="45" t="s">
        <v>36</v>
      </c>
      <c r="M2" s="45" t="s">
        <v>37</v>
      </c>
      <c r="N2" s="45" t="s">
        <v>38</v>
      </c>
      <c r="O2" s="45" t="s">
        <v>39</v>
      </c>
      <c r="P2" s="45" t="s">
        <v>40</v>
      </c>
      <c r="Q2" s="45" t="s">
        <v>43</v>
      </c>
    </row>
    <row r="3" spans="1:17" x14ac:dyDescent="0.45">
      <c r="A3" s="7" t="s">
        <v>36</v>
      </c>
      <c r="B3" s="46">
        <f>Data_Prices_Returns!B80</f>
        <v>1.5534044082737706E-2</v>
      </c>
      <c r="C3" s="46">
        <f>Data_Prices_Returns!B162</f>
        <v>8.8110605824230137E-2</v>
      </c>
      <c r="D3" s="53">
        <f>B3/C3</f>
        <v>0.17630163744108424</v>
      </c>
      <c r="E3" s="68" t="s">
        <v>25</v>
      </c>
      <c r="F3" s="4" t="s">
        <v>26</v>
      </c>
      <c r="G3" s="10" t="s">
        <v>27</v>
      </c>
      <c r="H3" s="12" t="s">
        <v>35</v>
      </c>
      <c r="K3" s="47" t="s">
        <v>36</v>
      </c>
      <c r="L3" s="13">
        <f>'Variance Covariance Matrix'!B21</f>
        <v>7.7634788587128568E-3</v>
      </c>
      <c r="M3" s="13">
        <f>'Variance Covariance Matrix'!C21</f>
        <v>2.7312420245602471E-3</v>
      </c>
      <c r="N3" s="13">
        <f>'Variance Covariance Matrix'!D21</f>
        <v>4.5836824363957836E-3</v>
      </c>
      <c r="O3" s="13">
        <f>'Variance Covariance Matrix'!E21</f>
        <v>5.6742340501333716E-3</v>
      </c>
      <c r="P3" s="13">
        <f>'Variance Covariance Matrix'!F21</f>
        <v>4.7779983831045128E-3</v>
      </c>
      <c r="Q3" s="13">
        <f>'Variance Covariance Matrix'!G21</f>
        <v>1.3875655170350111E-3</v>
      </c>
    </row>
    <row r="4" spans="1:17" x14ac:dyDescent="0.45">
      <c r="A4" s="7" t="s">
        <v>37</v>
      </c>
      <c r="B4" s="46">
        <f>Data_Prices_Returns!C80</f>
        <v>6.4704977407216476E-3</v>
      </c>
      <c r="C4" s="46">
        <f>Data_Prices_Returns!C162</f>
        <v>6.5034188486041353E-2</v>
      </c>
      <c r="D4" s="53">
        <f t="shared" ref="D4:D8" si="0">B4/C4</f>
        <v>9.9493787673085921E-2</v>
      </c>
      <c r="E4" s="48" t="s">
        <v>28</v>
      </c>
      <c r="F4" s="4" t="s">
        <v>26</v>
      </c>
      <c r="G4" s="38">
        <f>MIN(C3:C8)</f>
        <v>6.5034188486041353E-2</v>
      </c>
      <c r="H4" s="39">
        <f>MAX(B3:B8)</f>
        <v>1.6428710679844864E-2</v>
      </c>
      <c r="K4" s="47" t="s">
        <v>37</v>
      </c>
      <c r="L4" s="13">
        <f>'Variance Covariance Matrix'!B22</f>
        <v>2.7312420245602471E-3</v>
      </c>
      <c r="M4" s="13">
        <f>'Variance Covariance Matrix'!C22</f>
        <v>4.2294456720379531E-3</v>
      </c>
      <c r="N4" s="13">
        <f>'Variance Covariance Matrix'!D22</f>
        <v>3.5359570878090618E-3</v>
      </c>
      <c r="O4" s="13">
        <f>'Variance Covariance Matrix'!E22</f>
        <v>3.9363727447345636E-3</v>
      </c>
      <c r="P4" s="13">
        <f>'Variance Covariance Matrix'!F22</f>
        <v>2.5302047356896345E-3</v>
      </c>
      <c r="Q4" s="13">
        <f>'Variance Covariance Matrix'!G22</f>
        <v>1.3127926253342788E-3</v>
      </c>
    </row>
    <row r="5" spans="1:17" x14ac:dyDescent="0.45">
      <c r="A5" s="7" t="s">
        <v>38</v>
      </c>
      <c r="B5" s="46">
        <f>Data_Prices_Returns!D80</f>
        <v>2.1323973733933846E-3</v>
      </c>
      <c r="C5" s="46">
        <f>Data_Prices_Returns!D162</f>
        <v>8.9530621950612788E-2</v>
      </c>
      <c r="D5" s="53">
        <f t="shared" si="0"/>
        <v>2.3817519938258282E-2</v>
      </c>
      <c r="E5" s="77" t="s">
        <v>29</v>
      </c>
      <c r="F5" s="77"/>
      <c r="G5" s="77"/>
      <c r="H5" s="77"/>
      <c r="K5" s="47" t="s">
        <v>38</v>
      </c>
      <c r="L5" s="13">
        <f>'Variance Covariance Matrix'!B23</f>
        <v>4.5836824363957836E-3</v>
      </c>
      <c r="M5" s="13">
        <f>'Variance Covariance Matrix'!C23</f>
        <v>3.5359570878090618E-3</v>
      </c>
      <c r="N5" s="13">
        <f>'Variance Covariance Matrix'!D23</f>
        <v>8.015732266863548E-3</v>
      </c>
      <c r="O5" s="13">
        <f>'Variance Covariance Matrix'!E23</f>
        <v>5.0949890261646315E-3</v>
      </c>
      <c r="P5" s="13">
        <f>'Variance Covariance Matrix'!F23</f>
        <v>3.4627778928381994E-3</v>
      </c>
      <c r="Q5" s="13">
        <f>'Variance Covariance Matrix'!G23</f>
        <v>1.9236421049011272E-3</v>
      </c>
    </row>
    <row r="6" spans="1:17" x14ac:dyDescent="0.45">
      <c r="A6" s="7" t="s">
        <v>39</v>
      </c>
      <c r="B6" s="46">
        <f>Data_Prices_Returns!E80</f>
        <v>1.858171647629704E-4</v>
      </c>
      <c r="C6" s="46">
        <f>Data_Prices_Returns!E162</f>
        <v>0.10289997175085264</v>
      </c>
      <c r="D6" s="53">
        <f t="shared" si="0"/>
        <v>1.8058038462136965E-3</v>
      </c>
      <c r="E6" s="49" t="s">
        <v>36</v>
      </c>
      <c r="F6" s="40">
        <f>1/6</f>
        <v>0.16666666666666666</v>
      </c>
      <c r="G6" s="40">
        <v>0.37941361211766333</v>
      </c>
      <c r="H6" s="40">
        <v>0</v>
      </c>
      <c r="K6" s="47" t="s">
        <v>39</v>
      </c>
      <c r="L6" s="13">
        <f>'Variance Covariance Matrix'!B24</f>
        <v>5.6742340501333716E-3</v>
      </c>
      <c r="M6" s="13">
        <f>'Variance Covariance Matrix'!C24</f>
        <v>3.9363727447345636E-3</v>
      </c>
      <c r="N6" s="13">
        <f>'Variance Covariance Matrix'!D24</f>
        <v>5.0949890261646315E-3</v>
      </c>
      <c r="O6" s="13">
        <f>'Variance Covariance Matrix'!E24</f>
        <v>1.0588404186326271E-2</v>
      </c>
      <c r="P6" s="13">
        <f>'Variance Covariance Matrix'!F24</f>
        <v>4.7253245784632707E-3</v>
      </c>
      <c r="Q6" s="13">
        <f>'Variance Covariance Matrix'!G24</f>
        <v>3.429642452654097E-3</v>
      </c>
    </row>
    <row r="7" spans="1:17" x14ac:dyDescent="0.45">
      <c r="A7" s="7" t="s">
        <v>40</v>
      </c>
      <c r="B7" s="46">
        <f>Data_Prices_Returns!F80</f>
        <v>1.6428710679844864E-2</v>
      </c>
      <c r="C7" s="46">
        <f>Data_Prices_Returns!F162</f>
        <v>9.3273326738393239E-2</v>
      </c>
      <c r="D7" s="53">
        <f t="shared" si="0"/>
        <v>0.17613514232126626</v>
      </c>
      <c r="E7" s="49" t="s">
        <v>37</v>
      </c>
      <c r="F7" s="40">
        <f t="shared" ref="F7:H11" si="1">1/6</f>
        <v>0.16666666666666666</v>
      </c>
      <c r="G7" s="40">
        <v>1.1639989908872925E-2</v>
      </c>
      <c r="H7" s="40">
        <v>0</v>
      </c>
      <c r="K7" s="47" t="s">
        <v>40</v>
      </c>
      <c r="L7" s="13">
        <f>'Variance Covariance Matrix'!B25</f>
        <v>4.7779983831045128E-3</v>
      </c>
      <c r="M7" s="13">
        <f>'Variance Covariance Matrix'!C25</f>
        <v>2.5302047356896345E-3</v>
      </c>
      <c r="N7" s="13">
        <f>'Variance Covariance Matrix'!D25</f>
        <v>3.4627778928381994E-3</v>
      </c>
      <c r="O7" s="13">
        <f>'Variance Covariance Matrix'!E25</f>
        <v>4.7253245784632707E-3</v>
      </c>
      <c r="P7" s="13">
        <f>'Variance Covariance Matrix'!F25</f>
        <v>8.6999134808470619E-3</v>
      </c>
      <c r="Q7" s="13">
        <f>'Variance Covariance Matrix'!G25</f>
        <v>3.1869028412146259E-3</v>
      </c>
    </row>
    <row r="8" spans="1:17" x14ac:dyDescent="0.45">
      <c r="A8" s="7" t="s">
        <v>43</v>
      </c>
      <c r="B8" s="46">
        <f>Data_Prices_Returns!G80</f>
        <v>1.5506798251357022E-2</v>
      </c>
      <c r="C8" s="46">
        <f>Data_Prices_Returns!G162</f>
        <v>8.221077797112504E-2</v>
      </c>
      <c r="D8" s="53">
        <f t="shared" si="0"/>
        <v>0.18862244871108613</v>
      </c>
      <c r="E8" s="49" t="s">
        <v>38</v>
      </c>
      <c r="F8" s="40">
        <f t="shared" si="1"/>
        <v>0.16666666666666666</v>
      </c>
      <c r="G8" s="40">
        <v>0</v>
      </c>
      <c r="H8" s="40">
        <v>0</v>
      </c>
      <c r="K8" s="47" t="s">
        <v>43</v>
      </c>
      <c r="L8" s="13">
        <f>'Variance Covariance Matrix'!B26</f>
        <v>1.3875655170350111E-3</v>
      </c>
      <c r="M8" s="13">
        <f>'Variance Covariance Matrix'!C26</f>
        <v>1.3127926253342788E-3</v>
      </c>
      <c r="N8" s="13">
        <f>'Variance Covariance Matrix'!D26</f>
        <v>1.9236421049011272E-3</v>
      </c>
      <c r="O8" s="13">
        <f>'Variance Covariance Matrix'!E26</f>
        <v>3.429642452654097E-3</v>
      </c>
      <c r="P8" s="13">
        <f>'Variance Covariance Matrix'!F26</f>
        <v>3.1869028412146259E-3</v>
      </c>
      <c r="Q8" s="13">
        <f>'Variance Covariance Matrix'!G26</f>
        <v>6.7586120146176185E-3</v>
      </c>
    </row>
    <row r="9" spans="1:17" x14ac:dyDescent="0.45">
      <c r="C9" t="s">
        <v>0</v>
      </c>
      <c r="E9" s="47" t="s">
        <v>39</v>
      </c>
      <c r="F9" s="40">
        <f t="shared" si="1"/>
        <v>0.16666666666666666</v>
      </c>
      <c r="G9" s="40">
        <v>0</v>
      </c>
      <c r="H9" s="40">
        <v>0</v>
      </c>
      <c r="K9" s="7"/>
    </row>
    <row r="10" spans="1:17" x14ac:dyDescent="0.45">
      <c r="E10" s="47" t="s">
        <v>40</v>
      </c>
      <c r="F10" s="40">
        <f t="shared" si="1"/>
        <v>0.16666666666666666</v>
      </c>
      <c r="G10" s="40">
        <v>0.12052095043418033</v>
      </c>
      <c r="H10" s="40">
        <v>1</v>
      </c>
    </row>
    <row r="11" spans="1:17" x14ac:dyDescent="0.45">
      <c r="E11" s="47" t="s">
        <v>43</v>
      </c>
      <c r="F11" s="40">
        <f t="shared" si="1"/>
        <v>0.16666666666666666</v>
      </c>
      <c r="G11" s="40">
        <v>0.4884254475392833</v>
      </c>
      <c r="H11" s="40">
        <v>0</v>
      </c>
    </row>
    <row r="12" spans="1:17" x14ac:dyDescent="0.45">
      <c r="E12" s="4" t="s">
        <v>30</v>
      </c>
      <c r="F12" s="40">
        <f>SUM(F6:F11)</f>
        <v>0.99999999999999989</v>
      </c>
      <c r="G12" s="40">
        <f>SUM(G6:G11)</f>
        <v>0.99999999999999989</v>
      </c>
      <c r="H12" s="40">
        <f>SUM(H6:H11)</f>
        <v>1</v>
      </c>
    </row>
    <row r="13" spans="1:17" x14ac:dyDescent="0.45">
      <c r="E13" s="4" t="s">
        <v>4</v>
      </c>
      <c r="F13" s="41">
        <f t="array" ref="F13">MMULT(TRANSPOSE(F6:F11),$B$3:$B$8)</f>
        <v>9.3763775488029319E-3</v>
      </c>
      <c r="G13" s="41">
        <f t="array" ref="G13">MMULT(TRANSPOSE(G6:G11),$B$3:$B$8)</f>
        <v>1.5523063005997415E-2</v>
      </c>
      <c r="H13" s="41">
        <f t="array" ref="H13">MMULT(TRANSPOSE(H6:H11),$B$3:$B$8)</f>
        <v>1.6428710679844864E-2</v>
      </c>
    </row>
    <row r="14" spans="1:17" ht="15.75" x14ac:dyDescent="0.45">
      <c r="E14" s="11" t="s">
        <v>31</v>
      </c>
      <c r="F14" s="41">
        <f t="array" ref="F14">MMULT(MMULT(TRANSPOSE(F6:F11),$L$3:$Q$8),F6:F11)</f>
        <v>4.1845067633741696E-3</v>
      </c>
      <c r="G14" s="41">
        <f t="array" ref="G14">MMULT(MMULT(TRANSPOSE(G6:G11),$L$3:$Q$8),G6:G11)</f>
        <v>4.2294534121058262E-3</v>
      </c>
      <c r="H14" s="41">
        <f t="array" ref="H14">MMULT(MMULT(TRANSPOSE(H6:H11),$L$3:$Q$8),H6:H11)</f>
        <v>8.6999134808470619E-3</v>
      </c>
    </row>
    <row r="15" spans="1:17" x14ac:dyDescent="0.45">
      <c r="E15" s="11" t="s">
        <v>23</v>
      </c>
      <c r="F15" s="41">
        <f>SQRT(F14)</f>
        <v>6.4687763629408077E-2</v>
      </c>
      <c r="G15" s="41">
        <f>SQRT(G14)</f>
        <v>6.5034247993698113E-2</v>
      </c>
      <c r="H15" s="41">
        <f>SQRT(H14)</f>
        <v>9.3273326738393239E-2</v>
      </c>
    </row>
    <row r="16" spans="1:17" x14ac:dyDescent="0.45">
      <c r="E16" s="11" t="s">
        <v>32</v>
      </c>
      <c r="F16" s="42">
        <f>F13/F15</f>
        <v>0.14494824094583914</v>
      </c>
      <c r="G16" s="42">
        <f>G13/G15</f>
        <v>0.2386905897259182</v>
      </c>
      <c r="H16" s="42">
        <f>H13/H15</f>
        <v>0.17613514232126626</v>
      </c>
    </row>
    <row r="18" spans="6:6" x14ac:dyDescent="0.45">
      <c r="F18" t="s">
        <v>0</v>
      </c>
    </row>
    <row r="1048550" spans="16384:16384" x14ac:dyDescent="0.45">
      <c r="XFD1048550" t="e" cm="1" vm="1">
        <f t="array" aca="1" ref="XFD1048550" ca="1">ROW(INDEX(solver_adj,0,0,1))</f>
        <v>#VALUE!</v>
      </c>
    </row>
    <row r="1048551" spans="16384:16384" x14ac:dyDescent="0.45">
      <c r="XFD1048551" cm="1">
        <f t="array" ref="XFD1048551">COLUMN(INDEX(solver_adj,0,0,1))</f>
        <v>8</v>
      </c>
    </row>
    <row r="1048552" spans="16384:16384" x14ac:dyDescent="0.45">
      <c r="XFD1048552">
        <f>ROWS(INDEX(solver_adj,0,0,1))</f>
        <v>6</v>
      </c>
    </row>
    <row r="1048553" spans="16384:16384" x14ac:dyDescent="0.45">
      <c r="XFD1048553">
        <f>COLUMNS(INDEX(solver_adj,0,0,1))</f>
        <v>1</v>
      </c>
    </row>
    <row r="1048554" spans="16384:16384" x14ac:dyDescent="0.45">
      <c r="XFD1048554">
        <f>solver_eng</f>
        <v>1</v>
      </c>
    </row>
    <row r="1048555" spans="16384:16384" x14ac:dyDescent="0.45">
      <c r="XFD1048555">
        <f>solver_val</f>
        <v>0</v>
      </c>
    </row>
  </sheetData>
  <mergeCells count="3">
    <mergeCell ref="K1:O1"/>
    <mergeCell ref="E1:H1"/>
    <mergeCell ref="E5:H5"/>
  </mergeCells>
  <pageMargins left="0.7" right="0.7" top="0.75" bottom="0.75" header="0.3" footer="0.3"/>
  <pageSetup orientation="portrait" r:id="rId1"/>
  <extLst>
    <ext xmlns:x15="http://schemas.microsoft.com/office/spreadsheetml/2010/11/main" uri="{F7C9EE02-42E1-4005-9D12-6889AFFD525C}">
      <x15:webExtensions xmlns:xm="http://schemas.microsoft.com/office/excel/2006/main">
        <x15:webExtension appRef="{74FFFCDF-B122-42F4-B402-C702EF2355B4}">
          <xm:f>'Portfolio Optimization'!1:1048576</xm:f>
        </x15:webExtension>
        <x15:webExtension appRef="{4085A85C-A07C-4FD9-BFB9-22135FB55F67}">
          <xm:f>'Portfolio Optimization'!XFD1048550:XFD1048575</xm:f>
        </x15:webExtension>
        <x15:webExtension appRef="{0E22B34C-5D88-4A8B-B293-782BBF4D5EDF}">
          <xm:f>'Portfolio Optimization'!$H$15</xm:f>
        </x15:webExtension>
      </x15:webExtens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Information_Sheet</vt:lpstr>
      <vt:lpstr>Data_Prices_Returns</vt:lpstr>
      <vt:lpstr>Variance Covariance Matrix</vt:lpstr>
      <vt:lpstr>Portfolio Optimization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Jacqueline Garner</dc:creator>
  <cp:lastModifiedBy>Vo, Dylan T</cp:lastModifiedBy>
  <dcterms:created xsi:type="dcterms:W3CDTF">2018-10-28T22:35:33Z</dcterms:created>
  <dcterms:modified xsi:type="dcterms:W3CDTF">2025-06-30T04:59:01Z</dcterms:modified>
</cp:coreProperties>
</file>
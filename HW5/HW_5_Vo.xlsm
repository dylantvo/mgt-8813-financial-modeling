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925" codeName="{DD97A8EA-9A9A-E61F-A557-7D5A7D7259CE}"/>
  <workbookPr codeName="ThisWorkbook"/>
  <mc:AlternateContent xmlns:mc="http://schemas.openxmlformats.org/markup-compatibility/2006">
    <mc:Choice Requires="x15">
      <x15ac:absPath xmlns:x15ac="http://schemas.microsoft.com/office/spreadsheetml/2010/11/ac" url="https://gtvault-my.sharepoint.com/personal/dvo41_gatech_edu/Documents/Summer 2025/MGMT 8813/HW5/"/>
    </mc:Choice>
  </mc:AlternateContent>
  <xr:revisionPtr revIDLastSave="56" documentId="8_{DFB11BCF-DF2F-47D3-87C4-F626E18EAD6D}" xr6:coauthVersionLast="47" xr6:coauthVersionMax="47" xr10:uidLastSave="{0A44BCDC-25AE-49AF-AB40-84323C53D9BF}"/>
  <bookViews>
    <workbookView xWindow="38295" yWindow="0" windowWidth="38610" windowHeight="20985" firstSheet="2" activeTab="2" xr2:uid="{00000000-000D-0000-FFFF-FFFF00000000}"/>
  </bookViews>
  <sheets>
    <sheet name="Information" sheetId="2" state="veryHidden" r:id="rId1"/>
    <sheet name="Option_Pricing" sheetId="9" state="veryHidden" r:id="rId2"/>
    <sheet name="Announcement" sheetId="1" r:id="rId3"/>
    <sheet name="LogRecord" sheetId="3" state="veryHidden" r:id="rId4"/>
  </sheets>
  <definedNames>
    <definedName name="solver_adj" localSheetId="1" hidden="1">Option_Pricing!$B$7</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in" localSheetId="1" hidden="1">2</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Option_Pricing!$B$18</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4.5</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 i="9" l="1"/>
  <c r="H5" i="9"/>
  <c r="H4" i="9"/>
  <c r="B10" i="9"/>
  <c r="B14" i="9" s="1"/>
  <c r="XFD1048575" i="9" a="1"/>
  <c r="XFD1048575" i="9" s="1"/>
  <c r="XFD1048574" i="9" a="1"/>
  <c r="XFD1048574" i="9" s="1"/>
  <c r="XFD1048573" i="9" a="1"/>
  <c r="XFD1048573" i="9" s="1"/>
  <c r="XFD1048572" i="9" a="1"/>
  <c r="XFD1048572" i="9" s="1"/>
  <c r="XFD1048571" i="9" a="1"/>
  <c r="XFD1048571" i="9" s="1"/>
  <c r="XFD1048570" i="9" a="1"/>
  <c r="XFD1048570" i="9" s="1"/>
  <c r="XFD1048569" i="9" a="1"/>
  <c r="XFD1048569" i="9" s="1"/>
  <c r="XFD1048568" i="9" a="1"/>
  <c r="XFD1048568" i="9" s="1"/>
  <c r="XFD1048567" i="9" a="1"/>
  <c r="XFD1048567" i="9" s="1"/>
  <c r="XFD1048566" i="9" a="1"/>
  <c r="XFD1048566" i="9" s="1"/>
  <c r="XFD1048565" i="9" a="1"/>
  <c r="XFD1048565" i="9" s="1"/>
  <c r="XFD1048564" i="9" a="1"/>
  <c r="XFD1048564" i="9" s="1"/>
  <c r="XFD1048563" i="9" a="1"/>
  <c r="XFD1048563" i="9" s="1"/>
  <c r="XFD1048562" i="9" a="1"/>
  <c r="XFD1048562" i="9" s="1"/>
  <c r="XFD1048561" i="9"/>
  <c r="XFD1048560" i="9"/>
  <c r="XFD1048559" i="9"/>
  <c r="XFD1048558" i="9"/>
  <c r="XFD1048557" i="9"/>
  <c r="XFD1048556" i="9"/>
  <c r="XFD1048555" i="9" a="1"/>
  <c r="XFD1048555" i="9" s="1"/>
  <c r="XFD1048554" i="9"/>
  <c r="XFD1048553" i="9"/>
  <c r="XFD1048552" i="9"/>
  <c r="XFD1048551" i="9"/>
  <c r="XFD1048550" i="9"/>
  <c r="B11" i="9" l="1"/>
  <c r="B12" i="9"/>
  <c r="B15" i="9" l="1"/>
  <c r="B20" i="9" s="1"/>
  <c r="B13" i="9"/>
  <c r="B18" i="9" s="1"/>
  <c r="B19" i="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<sst xmlns="http://schemas.openxmlformats.org/spreadsheetml/2006/main" count="109" uniqueCount="60">
  <si>
    <t>Date</t>
  </si>
  <si>
    <t>Time</t>
  </si>
  <si>
    <t>Username</t>
  </si>
  <si>
    <t>Computer Name</t>
  </si>
  <si>
    <t>Warning: You must enable macros in order to access the data for this assignment. If you are seeing this message, macros have not been enabled. Please close the workbook and enable macros before re-opening it. If you have correctly enabled macros, you will be able to access the assignment data and will no longer see this message</t>
  </si>
  <si>
    <t>Name:</t>
  </si>
  <si>
    <t>jacqu</t>
  </si>
  <si>
    <t>DESKTOP-LARUAH2</t>
  </si>
  <si>
    <t xml:space="preserve"> </t>
  </si>
  <si>
    <t>Option Pricing Model</t>
  </si>
  <si>
    <t>Calculate days in between two dates</t>
  </si>
  <si>
    <t>Inputs</t>
  </si>
  <si>
    <t>End date</t>
  </si>
  <si>
    <t>S</t>
  </si>
  <si>
    <t>E</t>
  </si>
  <si>
    <t>r</t>
  </si>
  <si>
    <t>T</t>
  </si>
  <si>
    <t>Sigma</t>
  </si>
  <si>
    <t>Common denominator</t>
  </si>
  <si>
    <r>
      <t>Formulas for d</t>
    </r>
    <r>
      <rPr>
        <b/>
        <vertAlign val="subscript"/>
        <sz val="11"/>
        <color theme="1"/>
        <rFont val="Calibri"/>
        <family val="2"/>
        <scheme val="minor"/>
      </rPr>
      <t>1</t>
    </r>
    <r>
      <rPr>
        <b/>
        <sz val="11"/>
        <color theme="1"/>
        <rFont val="Calibri"/>
        <family val="2"/>
        <scheme val="minor"/>
      </rPr>
      <t>, d</t>
    </r>
    <r>
      <rPr>
        <b/>
        <vertAlign val="subscript"/>
        <sz val="11"/>
        <color theme="1"/>
        <rFont val="Calibri"/>
        <family val="2"/>
        <scheme val="minor"/>
      </rPr>
      <t>2</t>
    </r>
    <r>
      <rPr>
        <b/>
        <sz val="11"/>
        <color theme="1"/>
        <rFont val="Calibri"/>
        <family val="2"/>
        <scheme val="minor"/>
      </rPr>
      <t>, N(d</t>
    </r>
    <r>
      <rPr>
        <b/>
        <vertAlign val="subscript"/>
        <sz val="11"/>
        <color theme="1"/>
        <rFont val="Calibri"/>
        <family val="2"/>
        <scheme val="minor"/>
      </rPr>
      <t>1</t>
    </r>
    <r>
      <rPr>
        <b/>
        <sz val="11"/>
        <color theme="1"/>
        <rFont val="Calibri"/>
        <family val="2"/>
        <scheme val="minor"/>
      </rPr>
      <t>), N(d</t>
    </r>
    <r>
      <rPr>
        <b/>
        <vertAlign val="subscript"/>
        <sz val="11"/>
        <color theme="1"/>
        <rFont val="Calibri"/>
        <family val="2"/>
        <scheme val="minor"/>
      </rPr>
      <t>2</t>
    </r>
    <r>
      <rPr>
        <b/>
        <sz val="11"/>
        <color theme="1"/>
        <rFont val="Calibri"/>
        <family val="2"/>
        <scheme val="minor"/>
      </rPr>
      <t>)</t>
    </r>
  </si>
  <si>
    <r>
      <t>d</t>
    </r>
    <r>
      <rPr>
        <vertAlign val="subscript"/>
        <sz val="15"/>
        <color rgb="FF404040"/>
        <rFont val="Trebuchet MS"/>
        <family val="2"/>
      </rPr>
      <t>1</t>
    </r>
    <r>
      <rPr>
        <sz val="15"/>
        <color rgb="FF404040"/>
        <rFont val="Trebuchet MS"/>
        <family val="2"/>
      </rPr>
      <t xml:space="preserve"> = </t>
    </r>
    <r>
      <rPr>
        <u/>
        <sz val="15"/>
        <color rgb="FF404040"/>
        <rFont val="Trebuchet MS"/>
        <family val="2"/>
      </rPr>
      <t>ln(S/E) + (r + σ</t>
    </r>
    <r>
      <rPr>
        <u/>
        <vertAlign val="superscript"/>
        <sz val="15"/>
        <color rgb="FF404040"/>
        <rFont val="Trebuchet MS"/>
        <family val="2"/>
      </rPr>
      <t>2</t>
    </r>
    <r>
      <rPr>
        <u/>
        <sz val="15"/>
        <color rgb="FF404040"/>
        <rFont val="Trebuchet MS"/>
        <family val="2"/>
      </rPr>
      <t>/2)T</t>
    </r>
  </si>
  <si>
    <r>
      <t>d</t>
    </r>
    <r>
      <rPr>
        <vertAlign val="subscript"/>
        <sz val="15"/>
        <rFont val="Trebuchet MS"/>
        <family val="2"/>
      </rPr>
      <t>1</t>
    </r>
    <r>
      <rPr>
        <sz val="15"/>
        <rFont val="Trebuchet MS"/>
        <family val="2"/>
      </rPr>
      <t xml:space="preserve"> = </t>
    </r>
    <r>
      <rPr>
        <u/>
        <sz val="15"/>
        <rFont val="Trebuchet MS"/>
        <family val="2"/>
      </rPr>
      <t>ln(S/E) + (r + σ</t>
    </r>
    <r>
      <rPr>
        <u/>
        <vertAlign val="superscript"/>
        <sz val="15"/>
        <rFont val="Trebuchet MS"/>
        <family val="2"/>
      </rPr>
      <t>2</t>
    </r>
    <r>
      <rPr>
        <u/>
        <sz val="15"/>
        <rFont val="Trebuchet MS"/>
        <family val="2"/>
      </rPr>
      <t>/2)T</t>
    </r>
  </si>
  <si>
    <t xml:space="preserve">    - </t>
  </si>
  <si>
    <r>
      <t>σT</t>
    </r>
    <r>
      <rPr>
        <vertAlign val="superscript"/>
        <sz val="11"/>
        <rFont val="Calibri"/>
        <family val="2"/>
        <scheme val="minor"/>
      </rPr>
      <t>1/2</t>
    </r>
  </si>
  <si>
    <r>
      <t>σT</t>
    </r>
    <r>
      <rPr>
        <u/>
        <vertAlign val="superscript"/>
        <sz val="11"/>
        <rFont val="Calibri"/>
        <family val="2"/>
        <scheme val="minor"/>
      </rPr>
      <t>1/2</t>
    </r>
  </si>
  <si>
    <t>d1</t>
  </si>
  <si>
    <r>
      <t xml:space="preserve">                 σT</t>
    </r>
    <r>
      <rPr>
        <vertAlign val="superscript"/>
        <sz val="14"/>
        <color rgb="FF404040"/>
        <rFont val="Trebuchet MS"/>
        <family val="2"/>
      </rPr>
      <t>1/2</t>
    </r>
  </si>
  <si>
    <r>
      <t xml:space="preserve">                 σT</t>
    </r>
    <r>
      <rPr>
        <vertAlign val="superscript"/>
        <sz val="14"/>
        <rFont val="Trebuchet MS"/>
        <family val="2"/>
      </rPr>
      <t>1/2</t>
    </r>
  </si>
  <si>
    <t>d2</t>
  </si>
  <si>
    <r>
      <t>d</t>
    </r>
    <r>
      <rPr>
        <vertAlign val="subscript"/>
        <sz val="15"/>
        <rFont val="Trebuchet MS"/>
        <family val="2"/>
      </rPr>
      <t>2</t>
    </r>
    <r>
      <rPr>
        <sz val="15"/>
        <rFont val="Trebuchet MS"/>
        <family val="2"/>
      </rPr>
      <t xml:space="preserve"> = </t>
    </r>
    <r>
      <rPr>
        <u/>
        <sz val="15"/>
        <rFont val="Trebuchet MS"/>
        <family val="2"/>
      </rPr>
      <t>ln(S/E) + (r + σ</t>
    </r>
    <r>
      <rPr>
        <u/>
        <vertAlign val="superscript"/>
        <sz val="15"/>
        <rFont val="Trebuchet MS"/>
        <family val="2"/>
      </rPr>
      <t>2</t>
    </r>
    <r>
      <rPr>
        <u/>
        <sz val="15"/>
        <rFont val="Trebuchet MS"/>
        <family val="2"/>
      </rPr>
      <t xml:space="preserve">/2)T - </t>
    </r>
    <r>
      <rPr>
        <u/>
        <sz val="15"/>
        <rFont val="Calibri"/>
        <family val="2"/>
      </rPr>
      <t>σ</t>
    </r>
    <r>
      <rPr>
        <u/>
        <vertAlign val="superscript"/>
        <sz val="15"/>
        <rFont val="Trebuchet MS"/>
        <family val="2"/>
      </rPr>
      <t>2</t>
    </r>
    <r>
      <rPr>
        <u/>
        <sz val="15"/>
        <rFont val="Trebuchet MS"/>
        <family val="2"/>
      </rPr>
      <t>T</t>
    </r>
  </si>
  <si>
    <t>N(d1)</t>
  </si>
  <si>
    <t xml:space="preserve">  </t>
  </si>
  <si>
    <r>
      <t>d</t>
    </r>
    <r>
      <rPr>
        <vertAlign val="subscript"/>
        <sz val="15"/>
        <color rgb="FF404040"/>
        <rFont val="Trebuchet MS"/>
        <family val="2"/>
      </rPr>
      <t>2</t>
    </r>
    <r>
      <rPr>
        <sz val="15"/>
        <color rgb="FF404040"/>
        <rFont val="Trebuchet MS"/>
        <family val="2"/>
      </rPr>
      <t xml:space="preserve"> = d</t>
    </r>
    <r>
      <rPr>
        <vertAlign val="subscript"/>
        <sz val="15"/>
        <color rgb="FF404040"/>
        <rFont val="Trebuchet MS"/>
        <family val="2"/>
      </rPr>
      <t>1</t>
    </r>
    <r>
      <rPr>
        <sz val="15"/>
        <color rgb="FF404040"/>
        <rFont val="Trebuchet MS"/>
        <family val="2"/>
      </rPr>
      <t xml:space="preserve"> -  σT</t>
    </r>
    <r>
      <rPr>
        <vertAlign val="superscript"/>
        <sz val="15"/>
        <color rgb="FF404040"/>
        <rFont val="Trebuchet MS"/>
        <family val="2"/>
      </rPr>
      <t>1/2</t>
    </r>
  </si>
  <si>
    <t>N(d2)</t>
  </si>
  <si>
    <r>
      <t>d</t>
    </r>
    <r>
      <rPr>
        <vertAlign val="subscript"/>
        <sz val="15"/>
        <rFont val="Trebuchet MS"/>
        <family val="2"/>
      </rPr>
      <t>2</t>
    </r>
    <r>
      <rPr>
        <sz val="15"/>
        <rFont val="Trebuchet MS"/>
        <family val="2"/>
      </rPr>
      <t xml:space="preserve"> = </t>
    </r>
    <r>
      <rPr>
        <u/>
        <sz val="15"/>
        <rFont val="Trebuchet MS"/>
        <family val="2"/>
      </rPr>
      <t>ln(S/E) + rT + σ</t>
    </r>
    <r>
      <rPr>
        <u/>
        <vertAlign val="superscript"/>
        <sz val="15"/>
        <rFont val="Trebuchet MS"/>
        <family val="2"/>
      </rPr>
      <t>2</t>
    </r>
    <r>
      <rPr>
        <u/>
        <sz val="15"/>
        <rFont val="Trebuchet MS"/>
        <family val="2"/>
      </rPr>
      <t xml:space="preserve">/2 T - </t>
    </r>
    <r>
      <rPr>
        <u/>
        <sz val="15"/>
        <rFont val="Calibri"/>
        <family val="2"/>
      </rPr>
      <t>σ</t>
    </r>
    <r>
      <rPr>
        <u/>
        <vertAlign val="superscript"/>
        <sz val="15"/>
        <rFont val="Trebuchet MS"/>
        <family val="2"/>
      </rPr>
      <t>2</t>
    </r>
    <r>
      <rPr>
        <u/>
        <sz val="15"/>
        <rFont val="Trebuchet MS"/>
        <family val="2"/>
      </rPr>
      <t>T</t>
    </r>
  </si>
  <si>
    <t>N(-d1)</t>
  </si>
  <si>
    <r>
      <t>N(</t>
    </r>
    <r>
      <rPr>
        <sz val="15"/>
        <color rgb="FF404040"/>
        <rFont val="Calibri"/>
        <family val="2"/>
      </rPr>
      <t>·</t>
    </r>
    <r>
      <rPr>
        <sz val="17.25"/>
        <color rgb="FF404040"/>
        <rFont val="Trebuchet MS"/>
        <family val="2"/>
      </rPr>
      <t>) use Normsdist function</t>
    </r>
  </si>
  <si>
    <t>N(-d2)</t>
  </si>
  <si>
    <r>
      <t>d</t>
    </r>
    <r>
      <rPr>
        <vertAlign val="subscript"/>
        <sz val="15"/>
        <rFont val="Trebuchet MS"/>
        <family val="2"/>
      </rPr>
      <t>2</t>
    </r>
    <r>
      <rPr>
        <sz val="15"/>
        <rFont val="Trebuchet MS"/>
        <family val="2"/>
      </rPr>
      <t xml:space="preserve"> = </t>
    </r>
    <r>
      <rPr>
        <u/>
        <sz val="15"/>
        <rFont val="Trebuchet MS"/>
        <family val="2"/>
      </rPr>
      <t>ln(S/E) + rT - σ</t>
    </r>
    <r>
      <rPr>
        <u/>
        <vertAlign val="superscript"/>
        <sz val="15"/>
        <rFont val="Trebuchet MS"/>
        <family val="2"/>
      </rPr>
      <t>2</t>
    </r>
    <r>
      <rPr>
        <u/>
        <sz val="15"/>
        <rFont val="Trebuchet MS"/>
        <family val="2"/>
      </rPr>
      <t xml:space="preserve">/2 T </t>
    </r>
  </si>
  <si>
    <t>Outputs</t>
  </si>
  <si>
    <r>
      <t>d</t>
    </r>
    <r>
      <rPr>
        <vertAlign val="subscript"/>
        <sz val="15"/>
        <rFont val="Trebuchet MS"/>
        <family val="2"/>
      </rPr>
      <t>2</t>
    </r>
    <r>
      <rPr>
        <sz val="15"/>
        <rFont val="Trebuchet MS"/>
        <family val="2"/>
      </rPr>
      <t xml:space="preserve"> = </t>
    </r>
    <r>
      <rPr>
        <u/>
        <sz val="15"/>
        <rFont val="Trebuchet MS"/>
        <family val="2"/>
      </rPr>
      <t>ln(S/E) + (r - σ</t>
    </r>
    <r>
      <rPr>
        <u/>
        <vertAlign val="superscript"/>
        <sz val="15"/>
        <rFont val="Trebuchet MS"/>
        <family val="2"/>
      </rPr>
      <t>2</t>
    </r>
    <r>
      <rPr>
        <u/>
        <sz val="15"/>
        <rFont val="Trebuchet MS"/>
        <family val="2"/>
      </rPr>
      <t xml:space="preserve">/2) T </t>
    </r>
  </si>
  <si>
    <t>Call price</t>
  </si>
  <si>
    <r>
      <t>C = S x N(d</t>
    </r>
    <r>
      <rPr>
        <vertAlign val="subscript"/>
        <sz val="14"/>
        <color rgb="FF404040"/>
        <rFont val="Trebuchet MS"/>
        <family val="2"/>
      </rPr>
      <t>1</t>
    </r>
    <r>
      <rPr>
        <sz val="14"/>
        <color rgb="FF404040"/>
        <rFont val="Trebuchet MS"/>
        <family val="2"/>
      </rPr>
      <t>) – E (e</t>
    </r>
    <r>
      <rPr>
        <vertAlign val="superscript"/>
        <sz val="14"/>
        <color rgb="FF404040"/>
        <rFont val="Trebuchet MS"/>
        <family val="2"/>
      </rPr>
      <t>-rt</t>
    </r>
    <r>
      <rPr>
        <sz val="14"/>
        <color rgb="FF404040"/>
        <rFont val="Trebuchet MS"/>
        <family val="2"/>
      </rPr>
      <t>) x N(d</t>
    </r>
    <r>
      <rPr>
        <vertAlign val="subscript"/>
        <sz val="14"/>
        <color rgb="FF404040"/>
        <rFont val="Trebuchet MS"/>
        <family val="2"/>
      </rPr>
      <t>2</t>
    </r>
    <r>
      <rPr>
        <sz val="14"/>
        <color rgb="FF404040"/>
        <rFont val="Trebuchet MS"/>
        <family val="2"/>
      </rPr>
      <t>)</t>
    </r>
  </si>
  <si>
    <t>Put price (put-call parity)</t>
  </si>
  <si>
    <r>
      <t>P+S = C+E(e</t>
    </r>
    <r>
      <rPr>
        <vertAlign val="superscript"/>
        <sz val="14"/>
        <color rgb="FF404040"/>
        <rFont val="Trebuchet MS"/>
        <family val="2"/>
      </rPr>
      <t>-rt</t>
    </r>
    <r>
      <rPr>
        <sz val="14"/>
        <color rgb="FF404040"/>
        <rFont val="Trebuchet MS"/>
        <family val="2"/>
      </rPr>
      <t>);  P=C-S+E(e</t>
    </r>
    <r>
      <rPr>
        <vertAlign val="superscript"/>
        <sz val="14"/>
        <color rgb="FF404040"/>
        <rFont val="Trebuchet MS"/>
        <family val="2"/>
      </rPr>
      <t>-rt</t>
    </r>
    <r>
      <rPr>
        <sz val="14"/>
        <color rgb="FF404040"/>
        <rFont val="Trebuchet MS"/>
        <family val="2"/>
      </rPr>
      <t>)</t>
    </r>
  </si>
  <si>
    <t>Put price (direct formula)</t>
  </si>
  <si>
    <r>
      <t>P  = E(e</t>
    </r>
    <r>
      <rPr>
        <vertAlign val="superscript"/>
        <sz val="14"/>
        <color rgb="FF404040"/>
        <rFont val="Trebuchet MS"/>
        <family val="2"/>
      </rPr>
      <t>-rt</t>
    </r>
    <r>
      <rPr>
        <sz val="14"/>
        <color rgb="FF404040"/>
        <rFont val="Trebuchet MS"/>
        <family val="2"/>
      </rPr>
      <t>) x N(-d</t>
    </r>
    <r>
      <rPr>
        <vertAlign val="subscript"/>
        <sz val="14"/>
        <color rgb="FF404040"/>
        <rFont val="Trebuchet MS"/>
        <family val="2"/>
      </rPr>
      <t>2</t>
    </r>
    <r>
      <rPr>
        <sz val="14"/>
        <color rgb="FF404040"/>
        <rFont val="Trebuchet MS"/>
        <family val="2"/>
      </rPr>
      <t>) – S x N(-d</t>
    </r>
    <r>
      <rPr>
        <vertAlign val="subscript"/>
        <sz val="14"/>
        <color rgb="FF404040"/>
        <rFont val="Trebuchet MS"/>
        <family val="2"/>
      </rPr>
      <t>1</t>
    </r>
    <r>
      <rPr>
        <sz val="14"/>
        <color rgb="FF404040"/>
        <rFont val="Trebuchet MS"/>
        <family val="2"/>
      </rPr>
      <t>)</t>
    </r>
  </si>
  <si>
    <t>biyua</t>
  </si>
  <si>
    <t>LAPTOP-KLQC23A4</t>
  </si>
  <si>
    <t>DESKTOP-6E4S8K3</t>
  </si>
  <si>
    <t>GT Login</t>
  </si>
  <si>
    <t>Put some value here BEFORE you run solver.  Just use 25%</t>
  </si>
  <si>
    <t>Start date</t>
  </si>
  <si>
    <t>Days to maturity</t>
  </si>
  <si>
    <t>% of year</t>
  </si>
  <si>
    <t>Mine is jgarner47 (please do no put 9 digit student ID)</t>
  </si>
  <si>
    <t>brody</t>
  </si>
  <si>
    <t>DYLANFLOWX13</t>
  </si>
  <si>
    <t>Vo</t>
  </si>
  <si>
    <t>dvo41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</si>
</sst>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quot;$&quot;#,##0.00_);[Red]\(&quot;$&quot;#,##0.00\)"/>
    <numFmt numFmtId="44" formatCode="_(&quot;$&quot;* #,##0.00_);_(&quot;$&quot;* \(#,##0.00\);_(&quot;$&quot;* &quot;-&quot;??_);_(@_)"/>
    <numFmt numFmtId="164" formatCode="0.0000"/>
    <numFmt numFmtId="165" formatCode="0.0000000000"/>
  </numFmts>
  <fonts count="29" x14ac:knownFonts="1">
    <font>
      <sz val="11"/>
      <color theme="1"/>
      <name val="Calibri"/>
      <family val="2"/>
      <scheme val="minor"/>
    </font>
    <font>
      <sz val="12"/>
      <color rgb="FF222222"/>
      <name val="Arial"/>
      <family val="2"/>
    </font>
    <font>
      <sz val="11"/>
      <color theme="1"/>
      <name val="Calibri"/>
      <family val="2"/>
      <scheme val="minor"/>
    </font>
    <font>
      <b/>
      <sz val="11"/>
      <color theme="1"/>
      <name val="Calibri"/>
      <family val="2"/>
      <scheme val="minor"/>
    </font>
    <font>
      <sz val="11"/>
      <name val="Calibri"/>
      <family val="2"/>
      <scheme val="minor"/>
    </font>
    <font>
      <sz val="11"/>
      <color theme="0"/>
      <name val="Calibri"/>
      <family val="2"/>
      <scheme val="minor"/>
    </font>
    <font>
      <sz val="11"/>
      <color theme="4" tint="-0.249977111117893"/>
      <name val="Calibri"/>
      <family val="2"/>
      <scheme val="minor"/>
    </font>
    <font>
      <b/>
      <vertAlign val="subscript"/>
      <sz val="11"/>
      <color theme="1"/>
      <name val="Calibri"/>
      <family val="2"/>
      <scheme val="minor"/>
    </font>
    <font>
      <sz val="15"/>
      <color rgb="FF404040"/>
      <name val="Trebuchet MS"/>
      <family val="2"/>
    </font>
    <font>
      <vertAlign val="subscript"/>
      <sz val="15"/>
      <color rgb="FF404040"/>
      <name val="Trebuchet MS"/>
      <family val="2"/>
    </font>
    <font>
      <u/>
      <sz val="15"/>
      <color rgb="FF404040"/>
      <name val="Trebuchet MS"/>
      <family val="2"/>
    </font>
    <font>
      <u/>
      <vertAlign val="superscript"/>
      <sz val="15"/>
      <color rgb="FF404040"/>
      <name val="Trebuchet MS"/>
      <family val="2"/>
    </font>
    <font>
      <sz val="15"/>
      <name val="Trebuchet MS"/>
      <family val="2"/>
    </font>
    <font>
      <vertAlign val="subscript"/>
      <sz val="15"/>
      <name val="Trebuchet MS"/>
      <family val="2"/>
    </font>
    <font>
      <u/>
      <sz val="15"/>
      <name val="Trebuchet MS"/>
      <family val="2"/>
    </font>
    <font>
      <u/>
      <vertAlign val="superscript"/>
      <sz val="15"/>
      <name val="Trebuchet MS"/>
      <family val="2"/>
    </font>
    <font>
      <vertAlign val="superscript"/>
      <sz val="11"/>
      <name val="Calibri"/>
      <family val="2"/>
      <scheme val="minor"/>
    </font>
    <font>
      <u/>
      <sz val="11"/>
      <name val="Calibri"/>
      <family val="2"/>
      <scheme val="minor"/>
    </font>
    <font>
      <u/>
      <vertAlign val="superscript"/>
      <sz val="11"/>
      <name val="Calibri"/>
      <family val="2"/>
      <scheme val="minor"/>
    </font>
    <font>
      <sz val="14"/>
      <color rgb="FF404040"/>
      <name val="Trebuchet MS"/>
      <family val="2"/>
    </font>
    <font>
      <vertAlign val="superscript"/>
      <sz val="14"/>
      <color rgb="FF404040"/>
      <name val="Trebuchet MS"/>
      <family val="2"/>
    </font>
    <font>
      <sz val="14"/>
      <name val="Trebuchet MS"/>
      <family val="2"/>
    </font>
    <font>
      <vertAlign val="superscript"/>
      <sz val="14"/>
      <name val="Trebuchet MS"/>
      <family val="2"/>
    </font>
    <font>
      <u/>
      <sz val="15"/>
      <name val="Calibri"/>
      <family val="2"/>
    </font>
    <font>
      <vertAlign val="superscript"/>
      <sz val="15"/>
      <color rgb="FF404040"/>
      <name val="Trebuchet MS"/>
      <family val="2"/>
    </font>
    <font>
      <sz val="15"/>
      <color rgb="FF404040"/>
      <name val="Calibri"/>
      <family val="2"/>
    </font>
    <font>
      <sz val="17.25"/>
      <color rgb="FF404040"/>
      <name val="Trebuchet MS"/>
      <family val="2"/>
    </font>
    <font>
      <vertAlign val="subscript"/>
      <sz val="14"/>
      <color rgb="FF404040"/>
      <name val="Trebuchet MS"/>
      <family val="2"/>
    </font>
    <font>
      <b/>
      <sz val="11"/>
      <color rgb="FFFF0000"/>
      <name val="Calibri"/>
      <family val="2"/>
      <scheme val="minor"/>
    </font>
  </fonts>
  <fills count="6">
    <fill>
      <patternFill patternType="none"/>
    </fill>
    <fill>
      <patternFill patternType="gray125"/>
    </fill>
    <fill>
      <patternFill patternType="solid">
        <fgColor theme="2" tint="-9.9978637043366805E-2"/>
        <bgColor indexed="64"/>
      </patternFill>
    </fill>
    <fill>
      <patternFill patternType="solid">
        <fgColor theme="2"/>
        <bgColor indexed="64"/>
      </patternFill>
    </fill>
    <fill>
      <patternFill patternType="solid">
        <fgColor rgb="FFFFFFCC"/>
        <bgColor indexed="64"/>
      </patternFill>
    </fill>
    <fill>
      <patternFill patternType="solid">
        <fgColor theme="0" tint="-0.14999847407452621"/>
        <bgColor indexed="64"/>
      </patternFill>
    </fill>
  </fills>
  <borders count="20">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9" fontId="2" fillId="0" borderId="0" applyFont="0" applyFill="0" applyBorder="0" applyAlignment="0" applyProtection="0"/>
    <xf numFmtId="44" fontId="2" fillId="0" borderId="0" applyFont="0" applyFill="0" applyBorder="0" applyAlignment="0" applyProtection="0"/>
  </cellStyleXfs>
  <cellXfs count="63">
    <xf numFmtId="0" fontId="0" fillId="0" borderId="0" xfId="0"/>
    <xf numFmtId="14" fontId="0" fillId="0" borderId="0" xfId="0" applyNumberFormat="1"/>
    <xf numFmtId="19" fontId="0" fillId="0" borderId="0" xfId="0" applyNumberFormat="1"/>
    <xf numFmtId="9" fontId="0" fillId="0" borderId="0" xfId="0" applyNumberFormat="1"/>
    <xf numFmtId="0" fontId="1" fillId="0" borderId="0" xfId="0" applyFont="1" applyAlignment="1">
      <alignment vertical="top" wrapText="1"/>
    </xf>
    <xf numFmtId="0" fontId="0" fillId="0" borderId="6" xfId="0" applyBorder="1"/>
    <xf numFmtId="14" fontId="0" fillId="0" borderId="6" xfId="0" applyNumberFormat="1" applyBorder="1"/>
    <xf numFmtId="0" fontId="0" fillId="0" borderId="7" xfId="0" applyBorder="1"/>
    <xf numFmtId="0" fontId="0" fillId="0" borderId="8" xfId="0" applyBorder="1"/>
    <xf numFmtId="0" fontId="0" fillId="0" borderId="12" xfId="0" applyBorder="1"/>
    <xf numFmtId="0" fontId="0" fillId="0" borderId="9" xfId="0" applyBorder="1"/>
    <xf numFmtId="0" fontId="4" fillId="0" borderId="0" xfId="0" applyFont="1"/>
    <xf numFmtId="0" fontId="5" fillId="0" borderId="0" xfId="0" applyFont="1"/>
    <xf numFmtId="0" fontId="8" fillId="0" borderId="3" xfId="0" applyFont="1" applyBorder="1" applyAlignment="1">
      <alignment horizontal="left" vertical="center" indent="4" readingOrder="1"/>
    </xf>
    <xf numFmtId="0" fontId="12" fillId="0" borderId="3" xfId="0" applyFont="1" applyBorder="1" applyAlignment="1">
      <alignment horizontal="left" vertical="center" indent="4" readingOrder="1"/>
    </xf>
    <xf numFmtId="0" fontId="4" fillId="0" borderId="11" xfId="0" applyFont="1" applyBorder="1"/>
    <xf numFmtId="0" fontId="17" fillId="0" borderId="4" xfId="0" applyFont="1" applyBorder="1"/>
    <xf numFmtId="164" fontId="0" fillId="2" borderId="10" xfId="1" quotePrefix="1" applyNumberFormat="1" applyFont="1" applyFill="1" applyBorder="1"/>
    <xf numFmtId="164" fontId="0" fillId="0" borderId="0" xfId="0" applyNumberFormat="1"/>
    <xf numFmtId="0" fontId="19" fillId="0" borderId="8" xfId="0" applyFont="1" applyBorder="1" applyAlignment="1">
      <alignment horizontal="left" vertical="center" indent="5" readingOrder="1"/>
    </xf>
    <xf numFmtId="0" fontId="21" fillId="0" borderId="8" xfId="0" applyFont="1" applyBorder="1" applyAlignment="1">
      <alignment horizontal="left" vertical="center" indent="5" readingOrder="1"/>
    </xf>
    <xf numFmtId="0" fontId="4" fillId="0" borderId="12" xfId="0" applyFont="1" applyBorder="1"/>
    <xf numFmtId="0" fontId="4" fillId="0" borderId="9" xfId="0" applyFont="1" applyBorder="1"/>
    <xf numFmtId="0" fontId="8" fillId="0" borderId="0" xfId="0" applyFont="1" applyAlignment="1">
      <alignment horizontal="left" vertical="center" indent="4" readingOrder="1"/>
    </xf>
    <xf numFmtId="0" fontId="4" fillId="0" borderId="4" xfId="0" applyFont="1" applyBorder="1"/>
    <xf numFmtId="164" fontId="0" fillId="2" borderId="10" xfId="1" applyNumberFormat="1" applyFont="1" applyFill="1" applyBorder="1"/>
    <xf numFmtId="0" fontId="8" fillId="0" borderId="1" xfId="0" applyFont="1" applyBorder="1" applyAlignment="1">
      <alignment horizontal="left" vertical="center" indent="4" readingOrder="1"/>
    </xf>
    <xf numFmtId="165" fontId="5" fillId="0" borderId="0" xfId="0" applyNumberFormat="1" applyFont="1"/>
    <xf numFmtId="0" fontId="0" fillId="0" borderId="3" xfId="0" applyBorder="1"/>
    <xf numFmtId="0" fontId="0" fillId="0" borderId="11" xfId="0" applyBorder="1"/>
    <xf numFmtId="44" fontId="0" fillId="0" borderId="11" xfId="2" applyFont="1" applyBorder="1"/>
    <xf numFmtId="0" fontId="0" fillId="0" borderId="4" xfId="0" applyBorder="1"/>
    <xf numFmtId="0" fontId="19" fillId="0" borderId="1" xfId="0" applyFont="1" applyBorder="1" applyAlignment="1">
      <alignment horizontal="left" vertical="center" indent="4" readingOrder="1"/>
    </xf>
    <xf numFmtId="2" fontId="0" fillId="2" borderId="10" xfId="1" quotePrefix="1" applyNumberFormat="1" applyFont="1" applyFill="1" applyBorder="1"/>
    <xf numFmtId="0" fontId="19" fillId="0" borderId="13" xfId="0" applyFont="1" applyBorder="1" applyAlignment="1">
      <alignment horizontal="left" vertical="center" indent="4" readingOrder="1"/>
    </xf>
    <xf numFmtId="2" fontId="0" fillId="2" borderId="10" xfId="1" applyNumberFormat="1" applyFont="1" applyFill="1" applyBorder="1"/>
    <xf numFmtId="0" fontId="0" fillId="3" borderId="5" xfId="0" applyFill="1" applyBorder="1"/>
    <xf numFmtId="44" fontId="0" fillId="2" borderId="10" xfId="2" applyFont="1" applyFill="1" applyBorder="1"/>
    <xf numFmtId="0" fontId="6" fillId="4" borderId="14" xfId="0" applyFont="1" applyFill="1" applyBorder="1"/>
    <xf numFmtId="10" fontId="6" fillId="4" borderId="15" xfId="0" applyNumberFormat="1" applyFont="1" applyFill="1" applyBorder="1"/>
    <xf numFmtId="10" fontId="6" fillId="4" borderId="16" xfId="0" applyNumberFormat="1" applyFont="1" applyFill="1" applyBorder="1"/>
    <xf numFmtId="0" fontId="0" fillId="5" borderId="10" xfId="0" applyFill="1" applyBorder="1"/>
    <xf numFmtId="0" fontId="28" fillId="0" borderId="12" xfId="0" applyFont="1" applyBorder="1"/>
    <xf numFmtId="14" fontId="6" fillId="4" borderId="17" xfId="0" applyNumberFormat="1" applyFont="1" applyFill="1" applyBorder="1"/>
    <xf numFmtId="14" fontId="0" fillId="0" borderId="17" xfId="0" applyNumberFormat="1" applyBorder="1"/>
    <xf numFmtId="14" fontId="0" fillId="0" borderId="18" xfId="0" applyNumberFormat="1" applyBorder="1"/>
    <xf numFmtId="0" fontId="0" fillId="0" borderId="18" xfId="0" applyBorder="1"/>
    <xf numFmtId="0" fontId="0" fillId="0" borderId="19" xfId="0" applyBorder="1"/>
    <xf numFmtId="8" fontId="0" fillId="0" borderId="0" xfId="0" applyNumberFormat="1"/>
    <xf numFmtId="10" fontId="0" fillId="0" borderId="0" xfId="0" applyNumberFormat="1"/>
    <xf numFmtId="164" fontId="6" fillId="4" borderId="15" xfId="0" applyNumberFormat="1" applyFont="1" applyFill="1" applyBorder="1"/>
    <xf numFmtId="0" fontId="3" fillId="0" borderId="1" xfId="0" applyFont="1" applyBorder="1" applyAlignment="1">
      <alignment horizontal="center"/>
    </xf>
    <xf numFmtId="0" fontId="3" fillId="0" borderId="5" xfId="0" applyFont="1" applyBorder="1" applyAlignment="1">
      <alignment horizontal="center"/>
    </xf>
    <xf numFmtId="0" fontId="3" fillId="0" borderId="2" xfId="0" applyFont="1" applyBorder="1" applyAlignment="1">
      <alignment horizontal="center"/>
    </xf>
    <xf numFmtId="0" fontId="3" fillId="0" borderId="6" xfId="0" applyFont="1" applyBorder="1" applyAlignment="1">
      <alignment horizontal="center"/>
    </xf>
    <xf numFmtId="0" fontId="3" fillId="0" borderId="0" xfId="0" applyFont="1" applyAlignment="1">
      <alignment horizontal="center"/>
    </xf>
    <xf numFmtId="0" fontId="3" fillId="3" borderId="1" xfId="0" applyFont="1" applyFill="1" applyBorder="1" applyAlignment="1">
      <alignment horizontal="center"/>
    </xf>
    <xf numFmtId="0" fontId="3" fillId="3" borderId="11" xfId="0" applyFont="1" applyFill="1" applyBorder="1" applyAlignment="1">
      <alignment horizontal="center"/>
    </xf>
    <xf numFmtId="0" fontId="3" fillId="3" borderId="5" xfId="0" applyFont="1" applyFill="1" applyBorder="1" applyAlignment="1">
      <alignment horizont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5" xfId="0" applyFill="1" applyBorder="1" applyAlignment="1">
      <alignment horizontal="center"/>
    </xf>
    <xf numFmtId="0" fontId="0" fillId="3" borderId="2" xfId="0" applyFill="1" applyBorder="1" applyAlignment="1">
      <alignment horizontal="center"/>
    </xf>
  </cellXfs>
  <cellStyles count="3">
    <cellStyle name="Currency" xfId="2" builtinId="4"/>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1E72698-3D9B-40DA-B8E0-8ED9DAAE4FDC}">
  <we:reference id="1e10eb66-9ba2-46e3-84ee-57e2a49831f0" version="3.0.0.1" store="EXCatalog" storeType="EXCatalog"/>
  <we:alternateReferences>
    <we:reference id="WA104100404" version="3.0.0.1" store="en-US" storeType="OMEX"/>
  </we:alternateReferences>
  <we:properties>
    <we:property name="UniqueID" value="&quot;20256121752387919728&quot;"/>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10"/>
  <sheetViews>
    <sheetView workbookViewId="0">
      <selection activeCell="H17" sqref="H17"/>
    </sheetView>
  </sheetViews>
  <sheetFormatPr defaultColWidth="8.85546875" defaultRowHeight="15" x14ac:dyDescent="0.25"/>
  <cols>
    <col min="2" max="2" width="27.42578125" customWidth="1"/>
  </cols>
  <sheetData>
    <row r="1" spans="1:11" x14ac:dyDescent="0.25">
      <c r="A1" t="s">
        <v>5</v>
      </c>
      <c r="B1" s="41" t="s">
        <v>58</v>
      </c>
    </row>
    <row r="2" spans="1:11" x14ac:dyDescent="0.25">
      <c r="A2" t="s">
        <v>50</v>
      </c>
      <c r="B2" s="41" t="s">
        <v>59</v>
      </c>
      <c r="D2" t="s">
        <v>55</v>
      </c>
    </row>
    <row r="9" spans="1:11" x14ac:dyDescent="0.25">
      <c r="K9" s="3"/>
    </row>
    <row r="10" spans="1:11" x14ac:dyDescent="0.25">
      <c r="K10" s="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63985-A73F-D341-90E1-5E759A54925C}">
  <sheetPr codeName="Sheet4"/>
  <dimension ref="A1:XFD1048575"/>
  <sheetViews>
    <sheetView zoomScale="160" zoomScaleNormal="160" workbookViewId="0">
      <selection activeCell="B6" sqref="B6"/>
    </sheetView>
  </sheetViews>
  <sheetFormatPr defaultColWidth="8.85546875" defaultRowHeight="15" x14ac:dyDescent="0.25"/>
  <cols>
    <col min="1" max="1" width="21.28515625" customWidth="1"/>
    <col min="2" max="2" width="14.28515625" customWidth="1"/>
    <col min="6" max="6" width="26.85546875" customWidth="1"/>
    <col min="7" max="7" width="51.28515625" customWidth="1"/>
    <col min="8" max="8" width="38.28515625" customWidth="1"/>
    <col min="12" max="12" width="11.7109375" customWidth="1"/>
  </cols>
  <sheetData>
    <row r="1" spans="1:15" ht="15.75" thickBot="1" x14ac:dyDescent="0.3">
      <c r="A1" s="51" t="s">
        <v>9</v>
      </c>
      <c r="B1" s="52"/>
      <c r="C1" s="52"/>
      <c r="D1" s="52"/>
      <c r="E1" s="52"/>
      <c r="F1" s="53"/>
      <c r="G1" s="54" t="s">
        <v>10</v>
      </c>
      <c r="H1" s="55"/>
    </row>
    <row r="2" spans="1:15" ht="15.75" thickBot="1" x14ac:dyDescent="0.3">
      <c r="A2" s="56" t="s">
        <v>11</v>
      </c>
      <c r="B2" s="57"/>
      <c r="C2" s="58"/>
      <c r="D2" s="58"/>
      <c r="E2" s="58"/>
      <c r="F2" s="36"/>
      <c r="G2" s="44" t="s">
        <v>12</v>
      </c>
      <c r="H2" s="43">
        <v>45884</v>
      </c>
    </row>
    <row r="3" spans="1:15" ht="15.75" thickBot="1" x14ac:dyDescent="0.3">
      <c r="A3" s="5" t="s">
        <v>13</v>
      </c>
      <c r="B3" s="38">
        <v>61.69</v>
      </c>
      <c r="G3" s="45" t="s">
        <v>52</v>
      </c>
      <c r="H3" s="43">
        <v>45841</v>
      </c>
    </row>
    <row r="4" spans="1:15" x14ac:dyDescent="0.25">
      <c r="A4" s="5" t="s">
        <v>14</v>
      </c>
      <c r="B4" s="38">
        <v>65</v>
      </c>
      <c r="G4" s="46" t="s">
        <v>53</v>
      </c>
      <c r="H4" s="25">
        <f>_xlfn.DAYS(H2,H3)</f>
        <v>43</v>
      </c>
    </row>
    <row r="5" spans="1:15" ht="15.75" thickBot="1" x14ac:dyDescent="0.3">
      <c r="A5" s="5" t="s">
        <v>15</v>
      </c>
      <c r="B5" s="39">
        <v>4.3499999999999997E-2</v>
      </c>
      <c r="G5" s="47" t="s">
        <v>54</v>
      </c>
      <c r="H5" s="25">
        <f>H4/365</f>
        <v>0.11780821917808219</v>
      </c>
    </row>
    <row r="6" spans="1:15" x14ac:dyDescent="0.25">
      <c r="A6" s="5" t="s">
        <v>16</v>
      </c>
      <c r="B6" s="50">
        <f>H5</f>
        <v>0.11780821917808219</v>
      </c>
      <c r="G6" s="6" t="s">
        <v>8</v>
      </c>
      <c r="H6" s="7"/>
    </row>
    <row r="7" spans="1:15" ht="15.75" thickBot="1" x14ac:dyDescent="0.3">
      <c r="A7" s="8" t="s">
        <v>17</v>
      </c>
      <c r="B7" s="40">
        <v>0.68008642179071477</v>
      </c>
      <c r="C7" s="42" t="s">
        <v>51</v>
      </c>
      <c r="D7" s="42"/>
      <c r="E7" s="42"/>
      <c r="F7" s="42"/>
      <c r="G7" s="8"/>
      <c r="H7" s="10"/>
    </row>
    <row r="8" spans="1:15" ht="15.75" thickBot="1" x14ac:dyDescent="0.3">
      <c r="H8" s="11"/>
      <c r="I8" s="11"/>
      <c r="J8" s="11"/>
      <c r="K8" s="11"/>
      <c r="L8" s="11"/>
      <c r="M8" s="11"/>
      <c r="N8" s="11" t="s">
        <v>18</v>
      </c>
      <c r="O8" s="12"/>
    </row>
    <row r="9" spans="1:15" ht="24" thickBot="1" x14ac:dyDescent="0.4">
      <c r="A9" s="56" t="s">
        <v>19</v>
      </c>
      <c r="B9" s="57"/>
      <c r="C9" s="58"/>
      <c r="D9" s="58"/>
      <c r="E9" s="58"/>
      <c r="F9" s="58"/>
      <c r="G9" s="13" t="s">
        <v>20</v>
      </c>
      <c r="H9" s="14" t="s">
        <v>21</v>
      </c>
      <c r="I9" s="15"/>
      <c r="J9" s="15"/>
      <c r="K9" s="15"/>
      <c r="L9" s="15" t="s">
        <v>22</v>
      </c>
      <c r="M9" s="15" t="s">
        <v>23</v>
      </c>
      <c r="N9" s="16" t="s">
        <v>24</v>
      </c>
      <c r="O9" s="12"/>
    </row>
    <row r="10" spans="1:15" ht="22.5" thickBot="1" x14ac:dyDescent="0.3">
      <c r="A10" t="s">
        <v>25</v>
      </c>
      <c r="B10" s="17">
        <f>(LN(B3/B4)+(B5+0.5*B7^2)*B6)/(B7*SQRT(B6))</f>
        <v>-8.5236703776788256E-2</v>
      </c>
      <c r="C10" t="s">
        <v>8</v>
      </c>
      <c r="D10" s="18" t="s">
        <v>8</v>
      </c>
      <c r="G10" s="19" t="s">
        <v>26</v>
      </c>
      <c r="H10" s="20" t="s">
        <v>27</v>
      </c>
      <c r="I10" s="21"/>
      <c r="J10" s="21"/>
      <c r="K10" s="21"/>
      <c r="L10" s="21"/>
      <c r="M10" s="21"/>
      <c r="N10" s="22" t="s">
        <v>23</v>
      </c>
      <c r="O10" s="12"/>
    </row>
    <row r="11" spans="1:15" ht="24" thickBot="1" x14ac:dyDescent="0.3">
      <c r="A11" t="s">
        <v>28</v>
      </c>
      <c r="B11" s="17">
        <f>B10-B7*SQRT(B6)</f>
        <v>-0.31866413973087487</v>
      </c>
      <c r="C11" t="s">
        <v>8</v>
      </c>
      <c r="D11" s="18" t="s">
        <v>8</v>
      </c>
      <c r="G11" s="23" t="s">
        <v>8</v>
      </c>
      <c r="H11" s="14" t="s">
        <v>29</v>
      </c>
      <c r="I11" s="15"/>
      <c r="J11" s="15"/>
      <c r="K11" s="24"/>
      <c r="L11" s="12"/>
      <c r="M11" s="12"/>
      <c r="N11" s="12"/>
      <c r="O11" s="12"/>
    </row>
    <row r="12" spans="1:15" ht="24" thickBot="1" x14ac:dyDescent="0.3">
      <c r="A12" t="s">
        <v>30</v>
      </c>
      <c r="B12" s="25">
        <f>NORMSDIST(B10)</f>
        <v>0.46603660567537503</v>
      </c>
      <c r="C12" t="s">
        <v>8</v>
      </c>
      <c r="D12" t="s">
        <v>31</v>
      </c>
      <c r="G12" s="26" t="s">
        <v>32</v>
      </c>
      <c r="H12" s="20" t="s">
        <v>27</v>
      </c>
      <c r="I12" s="21"/>
      <c r="J12" s="21"/>
      <c r="K12" s="22"/>
      <c r="L12" s="12"/>
      <c r="M12" s="12"/>
      <c r="N12" s="12"/>
      <c r="O12" s="12"/>
    </row>
    <row r="13" spans="1:15" ht="24" thickBot="1" x14ac:dyDescent="0.3">
      <c r="A13" t="s">
        <v>33</v>
      </c>
      <c r="B13" s="25">
        <f>NORMSDIST(B11)</f>
        <v>0.37499060518430366</v>
      </c>
      <c r="C13" t="s">
        <v>8</v>
      </c>
      <c r="E13" s="48"/>
      <c r="H13" s="14" t="s">
        <v>34</v>
      </c>
      <c r="I13" s="15"/>
      <c r="J13" s="15"/>
      <c r="K13" s="24"/>
      <c r="L13" s="12"/>
      <c r="M13" s="12"/>
      <c r="N13" s="12"/>
      <c r="O13" s="12"/>
    </row>
    <row r="14" spans="1:15" ht="23.25" thickBot="1" x14ac:dyDescent="0.3">
      <c r="A14" t="s">
        <v>35</v>
      </c>
      <c r="B14" s="25">
        <f>NORMSDIST(-B10)</f>
        <v>0.53396339432462492</v>
      </c>
      <c r="C14" t="s">
        <v>8</v>
      </c>
      <c r="E14" s="48"/>
      <c r="G14" s="26" t="s">
        <v>36</v>
      </c>
      <c r="H14" s="20" t="s">
        <v>27</v>
      </c>
      <c r="I14" s="21"/>
      <c r="J14" s="21"/>
      <c r="K14" s="22"/>
      <c r="L14" s="12"/>
      <c r="M14" s="12"/>
      <c r="N14" s="12"/>
      <c r="O14" s="12"/>
    </row>
    <row r="15" spans="1:15" ht="23.25" x14ac:dyDescent="0.25">
      <c r="A15" t="s">
        <v>37</v>
      </c>
      <c r="B15" s="25">
        <f>NORMSDIST(-B11)</f>
        <v>0.62500939481569628</v>
      </c>
      <c r="C15" t="s">
        <v>8</v>
      </c>
      <c r="E15" s="49"/>
      <c r="H15" s="14" t="s">
        <v>38</v>
      </c>
      <c r="I15" s="15"/>
      <c r="J15" s="15"/>
      <c r="K15" s="24"/>
      <c r="L15" s="12"/>
      <c r="M15" s="12"/>
      <c r="N15" s="12"/>
      <c r="O15" s="12"/>
    </row>
    <row r="16" spans="1:15" ht="22.5" thickBot="1" x14ac:dyDescent="0.3">
      <c r="E16" s="1"/>
      <c r="H16" s="20" t="s">
        <v>27</v>
      </c>
      <c r="I16" s="21"/>
      <c r="J16" s="21"/>
      <c r="K16" s="22"/>
      <c r="L16" s="12"/>
      <c r="M16" s="12"/>
      <c r="N16" s="27"/>
      <c r="O16" s="12"/>
    </row>
    <row r="17" spans="1:15" ht="24" thickBot="1" x14ac:dyDescent="0.3">
      <c r="A17" s="59" t="s">
        <v>39</v>
      </c>
      <c r="B17" s="60"/>
      <c r="C17" s="61"/>
      <c r="D17" s="61"/>
      <c r="E17" s="61"/>
      <c r="F17" s="62"/>
      <c r="H17" s="14" t="s">
        <v>40</v>
      </c>
      <c r="I17" s="15"/>
      <c r="J17" s="15"/>
      <c r="K17" s="24"/>
      <c r="L17" s="12"/>
      <c r="M17" s="12"/>
      <c r="N17" s="12"/>
      <c r="O17" s="12"/>
    </row>
    <row r="18" spans="1:15" ht="22.5" thickBot="1" x14ac:dyDescent="0.3">
      <c r="A18" s="28" t="s">
        <v>41</v>
      </c>
      <c r="B18" s="37">
        <f>B3*B12-B4*EXP(-B5*B6)*B13</f>
        <v>4.4999997496220168</v>
      </c>
      <c r="C18" s="29" t="s">
        <v>8</v>
      </c>
      <c r="D18" s="30" t="s">
        <v>8</v>
      </c>
      <c r="E18" s="29"/>
      <c r="F18" s="31" t="s">
        <v>8</v>
      </c>
      <c r="G18" s="32" t="s">
        <v>42</v>
      </c>
      <c r="H18" s="20" t="s">
        <v>27</v>
      </c>
      <c r="I18" s="21"/>
      <c r="J18" s="21"/>
      <c r="K18" s="22"/>
      <c r="L18" s="12"/>
      <c r="M18" s="12"/>
      <c r="N18" s="12"/>
    </row>
    <row r="19" spans="1:15" ht="22.5" thickBot="1" x14ac:dyDescent="0.3">
      <c r="A19" s="5" t="s">
        <v>43</v>
      </c>
      <c r="B19" s="33">
        <f>B18-B3+B4*EXP(-B5*B6)</f>
        <v>7.4777490724973603</v>
      </c>
      <c r="C19" t="s">
        <v>8</v>
      </c>
      <c r="D19" t="s">
        <v>8</v>
      </c>
      <c r="E19" t="s">
        <v>8</v>
      </c>
      <c r="F19" s="7"/>
      <c r="G19" s="34" t="s">
        <v>44</v>
      </c>
      <c r="H19" s="12"/>
      <c r="I19" s="12"/>
      <c r="J19" s="12"/>
      <c r="K19" s="12"/>
      <c r="L19" s="12"/>
      <c r="M19" s="12"/>
      <c r="N19" s="12"/>
    </row>
    <row r="20" spans="1:15" ht="22.5" thickBot="1" x14ac:dyDescent="0.3">
      <c r="A20" s="8" t="s">
        <v>45</v>
      </c>
      <c r="B20" s="35">
        <f>B4*EXP(-B5*B6)*B15-B3*B14</f>
        <v>7.4777490724973603</v>
      </c>
      <c r="C20" s="9" t="s">
        <v>8</v>
      </c>
      <c r="D20" s="9" t="s">
        <v>8</v>
      </c>
      <c r="E20" s="9"/>
      <c r="F20" s="10"/>
      <c r="G20" s="34" t="s">
        <v>46</v>
      </c>
    </row>
    <row r="21" spans="1:15" ht="19.5" thickBot="1" x14ac:dyDescent="0.3">
      <c r="G21" s="34" t="s">
        <v>8</v>
      </c>
    </row>
    <row r="23" spans="1:15" x14ac:dyDescent="0.25">
      <c r="C23" t="s">
        <v>8</v>
      </c>
    </row>
    <row r="26" spans="1:15" x14ac:dyDescent="0.25">
      <c r="H26">
        <v>0</v>
      </c>
    </row>
    <row r="1048550" spans="16384:16384" x14ac:dyDescent="0.25">
      <c r="XFD1048550">
        <f>solver_pre</f>
        <v>9.9999999999999995E-7</v>
      </c>
    </row>
    <row r="1048551" spans="16384:16384" x14ac:dyDescent="0.25">
      <c r="XFD1048551">
        <f>solver_scl</f>
        <v>1</v>
      </c>
    </row>
    <row r="1048552" spans="16384:16384" x14ac:dyDescent="0.25">
      <c r="XFD1048552">
        <f>solver_rlx</f>
        <v>2</v>
      </c>
    </row>
    <row r="1048553" spans="16384:16384" x14ac:dyDescent="0.25">
      <c r="XFD1048553">
        <f>solver_tol</f>
        <v>0.01</v>
      </c>
    </row>
    <row r="1048554" spans="16384:16384" x14ac:dyDescent="0.25">
      <c r="XFD1048554">
        <f>solver_cvg</f>
        <v>1E-4</v>
      </c>
    </row>
    <row r="1048555" spans="16384:16384" x14ac:dyDescent="0.25">
      <c r="XFD1048555" t="e" cm="1">
        <f t="array" ref="XFD1048555">AREAS(solver_adj1)</f>
        <v>#NAME?</v>
      </c>
    </row>
    <row r="1048556" spans="16384:16384" x14ac:dyDescent="0.25">
      <c r="XFD1048556">
        <f>solver_ssz</f>
        <v>100</v>
      </c>
    </row>
    <row r="1048557" spans="16384:16384" x14ac:dyDescent="0.25">
      <c r="XFD1048557">
        <f>solver_rsd</f>
        <v>0</v>
      </c>
    </row>
    <row r="1048558" spans="16384:16384" x14ac:dyDescent="0.25">
      <c r="XFD1048558">
        <f>solver_mrt</f>
        <v>7.4999999999999997E-2</v>
      </c>
    </row>
    <row r="1048559" spans="16384:16384" x14ac:dyDescent="0.25">
      <c r="XFD1048559">
        <f>solver_mni</f>
        <v>30</v>
      </c>
    </row>
    <row r="1048560" spans="16384:16384" x14ac:dyDescent="0.25">
      <c r="XFD1048560">
        <f>solver_rbv</f>
        <v>1</v>
      </c>
    </row>
    <row r="1048561" spans="16384:16384" x14ac:dyDescent="0.25">
      <c r="XFD1048561">
        <f>solver_neg</f>
        <v>1</v>
      </c>
    </row>
    <row r="1048562" spans="16384:16384" x14ac:dyDescent="0.25">
      <c r="XFD1048562" t="e" cm="1">
        <f t="array" ref="XFD1048562">solver_ntr</f>
        <v>#NAME?</v>
      </c>
    </row>
    <row r="1048563" spans="16384:16384" x14ac:dyDescent="0.25">
      <c r="XFD1048563" t="e" cm="1">
        <f t="array" ref="XFD1048563">solver_acc</f>
        <v>#NAME?</v>
      </c>
    </row>
    <row r="1048564" spans="16384:16384" x14ac:dyDescent="0.25">
      <c r="XFD1048564" t="e" cm="1">
        <f t="array" ref="XFD1048564">solver_res</f>
        <v>#NAME?</v>
      </c>
    </row>
    <row r="1048565" spans="16384:16384" x14ac:dyDescent="0.25">
      <c r="XFD1048565" t="e" cm="1">
        <f t="array" ref="XFD1048565">solver_ars</f>
        <v>#NAME?</v>
      </c>
    </row>
    <row r="1048566" spans="16384:16384" x14ac:dyDescent="0.25">
      <c r="XFD1048566" t="e" cm="1">
        <f t="array" ref="XFD1048566">solver_sta</f>
        <v>#NAME?</v>
      </c>
    </row>
    <row r="1048567" spans="16384:16384" x14ac:dyDescent="0.25">
      <c r="XFD1048567" t="e" cm="1">
        <f t="array" ref="XFD1048567">solver_met</f>
        <v>#NAME?</v>
      </c>
    </row>
    <row r="1048568" spans="16384:16384" x14ac:dyDescent="0.25">
      <c r="XFD1048568" t="e" cm="1">
        <f t="array" ref="XFD1048568">solver_soc</f>
        <v>#NAME?</v>
      </c>
    </row>
    <row r="1048569" spans="16384:16384" x14ac:dyDescent="0.25">
      <c r="XFD1048569" t="e" cm="1">
        <f t="array" ref="XFD1048569">solver_lpt</f>
        <v>#NAME?</v>
      </c>
    </row>
    <row r="1048570" spans="16384:16384" x14ac:dyDescent="0.25">
      <c r="XFD1048570" t="e" cm="1">
        <f t="array" ref="XFD1048570">solver_lpp</f>
        <v>#NAME?</v>
      </c>
    </row>
    <row r="1048571" spans="16384:16384" x14ac:dyDescent="0.25">
      <c r="XFD1048571" t="e" cm="1">
        <f t="array" ref="XFD1048571">solver_gap</f>
        <v>#NAME?</v>
      </c>
    </row>
    <row r="1048572" spans="16384:16384" x14ac:dyDescent="0.25">
      <c r="XFD1048572" t="e" cm="1">
        <f t="array" ref="XFD1048572">solver_ips</f>
        <v>#NAME?</v>
      </c>
    </row>
    <row r="1048573" spans="16384:16384" x14ac:dyDescent="0.25">
      <c r="XFD1048573" t="e" cm="1">
        <f t="array" ref="XFD1048573">solver_fea</f>
        <v>#NAME?</v>
      </c>
    </row>
    <row r="1048574" spans="16384:16384" x14ac:dyDescent="0.25">
      <c r="XFD1048574" t="e" cm="1">
        <f t="array" ref="XFD1048574">solver_ipi</f>
        <v>#NAME?</v>
      </c>
    </row>
    <row r="1048575" spans="16384:16384" x14ac:dyDescent="0.25">
      <c r="XFD1048575" t="e" cm="1">
        <f t="array" ref="XFD1048575">solver_ipd</f>
        <v>#NAME?</v>
      </c>
    </row>
  </sheetData>
  <mergeCells count="5">
    <mergeCell ref="A1:F1"/>
    <mergeCell ref="G1:H1"/>
    <mergeCell ref="A2:E2"/>
    <mergeCell ref="A9:F9"/>
    <mergeCell ref="A17:F1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showRowColHeaders="0" tabSelected="1" workbookViewId="0">
      <selection activeCell="C16" sqref="C16"/>
    </sheetView>
  </sheetViews>
  <sheetFormatPr defaultColWidth="8.85546875" defaultRowHeight="15" x14ac:dyDescent="0.25"/>
  <cols>
    <col min="1" max="1" width="73" customWidth="1"/>
  </cols>
  <sheetData>
    <row r="1" spans="1:1" ht="75" x14ac:dyDescent="0.25">
      <c r="A1" s="4" t="s">
        <v>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D24"/>
  <sheetViews>
    <sheetView workbookViewId="0">
      <selection activeCell="B10" sqref="B10"/>
    </sheetView>
  </sheetViews>
  <sheetFormatPr defaultColWidth="8.85546875" defaultRowHeight="15" x14ac:dyDescent="0.25"/>
  <cols>
    <col min="1" max="1" width="26.85546875" customWidth="1"/>
    <col min="2" max="2" width="25.42578125" customWidth="1"/>
    <col min="3" max="3" width="26" customWidth="1"/>
    <col min="4" max="4" width="25.42578125" customWidth="1"/>
  </cols>
  <sheetData>
    <row r="1" spans="1:4" x14ac:dyDescent="0.25">
      <c r="A1" t="s">
        <v>0</v>
      </c>
      <c r="B1" t="s">
        <v>1</v>
      </c>
      <c r="C1" t="s">
        <v>2</v>
      </c>
      <c r="D1" t="s">
        <v>3</v>
      </c>
    </row>
    <row r="2" spans="1:4" x14ac:dyDescent="0.25">
      <c r="A2" s="1">
        <v>43352</v>
      </c>
      <c r="B2" s="2">
        <v>0.57980324074074074</v>
      </c>
      <c r="C2" t="s">
        <v>6</v>
      </c>
      <c r="D2" t="s">
        <v>7</v>
      </c>
    </row>
    <row r="3" spans="1:4" x14ac:dyDescent="0.25">
      <c r="A3" s="1">
        <v>44486</v>
      </c>
      <c r="B3" s="2">
        <v>0.92160879629629633</v>
      </c>
    </row>
    <row r="4" spans="1:4" x14ac:dyDescent="0.25">
      <c r="A4" s="1">
        <v>44486</v>
      </c>
      <c r="B4" s="2">
        <v>0.92799768518518511</v>
      </c>
      <c r="C4" t="s">
        <v>47</v>
      </c>
      <c r="D4" t="s">
        <v>48</v>
      </c>
    </row>
    <row r="5" spans="1:4" x14ac:dyDescent="0.25">
      <c r="A5" s="1">
        <v>44488</v>
      </c>
      <c r="B5" s="2">
        <v>0.29793981481481485</v>
      </c>
      <c r="C5" t="s">
        <v>6</v>
      </c>
      <c r="D5" t="s">
        <v>49</v>
      </c>
    </row>
    <row r="6" spans="1:4" x14ac:dyDescent="0.25">
      <c r="A6" s="1">
        <v>44743</v>
      </c>
      <c r="B6" s="2">
        <v>0.83210648148148147</v>
      </c>
      <c r="C6" t="s">
        <v>6</v>
      </c>
      <c r="D6" t="s">
        <v>49</v>
      </c>
    </row>
    <row r="7" spans="1:4" x14ac:dyDescent="0.25">
      <c r="A7" s="1">
        <v>45109</v>
      </c>
      <c r="B7" s="2">
        <v>0.6882638888888889</v>
      </c>
      <c r="C7" t="s">
        <v>6</v>
      </c>
      <c r="D7" t="s">
        <v>49</v>
      </c>
    </row>
    <row r="8" spans="1:4" x14ac:dyDescent="0.25">
      <c r="A8" s="1">
        <v>45109</v>
      </c>
      <c r="B8" s="2">
        <v>0.69458333333333344</v>
      </c>
      <c r="C8" t="s">
        <v>6</v>
      </c>
      <c r="D8" t="s">
        <v>49</v>
      </c>
    </row>
    <row r="9" spans="1:4" x14ac:dyDescent="0.25">
      <c r="A9" s="1">
        <v>45120</v>
      </c>
      <c r="B9" s="2">
        <v>0.83505787037037038</v>
      </c>
      <c r="C9" t="s">
        <v>6</v>
      </c>
      <c r="D9" t="s">
        <v>49</v>
      </c>
    </row>
    <row r="10" spans="1:4" x14ac:dyDescent="0.25">
      <c r="A10" s="1">
        <v>45241</v>
      </c>
      <c r="B10" s="2">
        <v>0.70506944444444442</v>
      </c>
      <c r="C10" t="s">
        <v>6</v>
      </c>
      <c r="D10" t="s">
        <v>49</v>
      </c>
    </row>
    <row r="11" spans="1:4" x14ac:dyDescent="0.25">
      <c r="A11" s="1">
        <v>45389</v>
      </c>
      <c r="B11" s="2">
        <v>0.72104166666666669</v>
      </c>
      <c r="C11" t="s">
        <v>6</v>
      </c>
      <c r="D11" t="s">
        <v>49</v>
      </c>
    </row>
    <row r="12" spans="1:4" x14ac:dyDescent="0.25">
      <c r="A12" s="1">
        <v>45606</v>
      </c>
      <c r="B12" s="2">
        <v>0.71685185185185185</v>
      </c>
      <c r="C12" t="s">
        <v>6</v>
      </c>
      <c r="D12" t="s">
        <v>49</v>
      </c>
    </row>
    <row r="13" spans="1:4" x14ac:dyDescent="0.25">
      <c r="A13" s="1">
        <v>45606</v>
      </c>
      <c r="B13" s="2">
        <v>0.73858796296296292</v>
      </c>
      <c r="C13" t="s">
        <v>6</v>
      </c>
      <c r="D13" t="s">
        <v>49</v>
      </c>
    </row>
    <row r="14" spans="1:4" x14ac:dyDescent="0.25">
      <c r="A14" s="1">
        <v>45753</v>
      </c>
      <c r="B14" s="2">
        <v>0.81936342592592593</v>
      </c>
      <c r="C14" t="s">
        <v>6</v>
      </c>
      <c r="D14" t="s">
        <v>49</v>
      </c>
    </row>
    <row r="15" spans="1:4" x14ac:dyDescent="0.25">
      <c r="A15" s="1">
        <v>45753</v>
      </c>
      <c r="B15" s="2">
        <v>0.83313657407407404</v>
      </c>
      <c r="C15" t="s">
        <v>6</v>
      </c>
      <c r="D15" t="s">
        <v>49</v>
      </c>
    </row>
    <row r="16" spans="1:4" x14ac:dyDescent="0.25">
      <c r="A16" s="1">
        <v>45844</v>
      </c>
      <c r="B16" s="2">
        <v>0.81807870370370372</v>
      </c>
      <c r="C16" t="s">
        <v>6</v>
      </c>
      <c r="D16" t="s">
        <v>49</v>
      </c>
    </row>
    <row r="17" spans="1:4" x14ac:dyDescent="0.25">
      <c r="A17" s="1">
        <v>45850</v>
      </c>
      <c r="B17" s="2">
        <v>0.96785879629629634</v>
      </c>
      <c r="C17" t="s">
        <v>56</v>
      </c>
      <c r="D17" t="s">
        <v>57</v>
      </c>
    </row>
    <row r="18" spans="1:4" x14ac:dyDescent="0.25">
      <c r="A18" s="1">
        <v>45850</v>
      </c>
      <c r="B18" s="2">
        <v>0.98274305555555552</v>
      </c>
      <c r="C18" t="s">
        <v>56</v>
      </c>
      <c r="D18" t="s">
        <v>57</v>
      </c>
    </row>
    <row r="19" spans="1:4" x14ac:dyDescent="0.25">
      <c r="A19" s="1"/>
      <c r="B19" s="2"/>
    </row>
    <row r="20" spans="1:4" x14ac:dyDescent="0.25">
      <c r="A20" s="1"/>
      <c r="B20" s="2"/>
    </row>
    <row r="21" spans="1:4" x14ac:dyDescent="0.25">
      <c r="A21" s="1"/>
      <c r="B21" s="2"/>
    </row>
    <row r="22" spans="1:4" x14ac:dyDescent="0.25">
      <c r="A22" s="1"/>
      <c r="B22" s="2"/>
    </row>
    <row r="23" spans="1:4" x14ac:dyDescent="0.25">
      <c r="A23" s="1"/>
      <c r="B23" s="2"/>
    </row>
    <row r="24" spans="1:4" x14ac:dyDescent="0.25">
      <c r="A24" s="1"/>
      <c r="B24"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Announcement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 DaDalt</dc:creator>
  <cp:lastModifiedBy>Vo, Dylan T</cp:lastModifiedBy>
  <dcterms:created xsi:type="dcterms:W3CDTF">2018-07-30T15:58:40Z</dcterms:created>
  <dcterms:modified xsi:type="dcterms:W3CDTF">2025-07-13T06:38:56Z</dcterms:modified>
</cp:coreProperties>
</file>
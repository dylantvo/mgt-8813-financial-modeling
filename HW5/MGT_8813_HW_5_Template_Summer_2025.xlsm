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5/"/>
    </mc:Choice>
  </mc:AlternateContent>
  <xr:revisionPtr revIDLastSave="215" documentId="14_{2582FAFD-3B14-4E3B-9179-44155C419C34}" xr6:coauthVersionLast="47" xr6:coauthVersionMax="47" xr10:uidLastSave="{A5239E39-79C6-4ADA-8B39-6740DB02FD56}"/>
  <bookViews>
    <workbookView xWindow="38295" yWindow="0" windowWidth="38610" windowHeight="20985" firstSheet="2" activeTab="2" xr2:uid="{00000000-000D-0000-FFFF-FFFF00000000}"/>
  </bookViews>
  <sheets>
    <sheet name="Information" sheetId="2" state="veryHidden" r:id="rId1"/>
    <sheet name="Option_Pricing" sheetId="9" state="veryHidden" r:id="rId2"/>
    <sheet name="Announcement" sheetId="1" r:id="rId3"/>
    <sheet name="LogRecord" sheetId="3" state="veryHidden" r:id="rId4"/>
  </sheets>
  <definedNames>
    <definedName name="solver_adj" localSheetId="1" hidden="1">Option_Pricing!$B$7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Option_Pricing!$B$18</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4.5</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9" l="1"/>
  <c r="H5" i="9"/>
  <c r="H4" i="9"/>
  <c r="B10" i="9"/>
  <c r="B14" i="9" s="1"/>
  <c r="XFD1048575" i="9" a="1"/>
  <c r="XFD1048575" i="9" s="1"/>
  <c r="XFD1048574" i="9" a="1"/>
  <c r="XFD1048574" i="9" s="1"/>
  <c r="XFD1048573" i="9" a="1"/>
  <c r="XFD1048573" i="9" s="1"/>
  <c r="XFD1048572" i="9" a="1"/>
  <c r="XFD1048572" i="9" s="1"/>
  <c r="XFD1048571" i="9" a="1"/>
  <c r="XFD1048571" i="9" s="1"/>
  <c r="XFD1048570" i="9" a="1"/>
  <c r="XFD1048570" i="9" s="1"/>
  <c r="XFD1048569" i="9" a="1"/>
  <c r="XFD1048569" i="9" s="1"/>
  <c r="XFD1048568" i="9" a="1"/>
  <c r="XFD1048568" i="9" s="1"/>
  <c r="XFD1048567" i="9" a="1"/>
  <c r="XFD1048567" i="9" s="1"/>
  <c r="XFD1048566" i="9" a="1"/>
  <c r="XFD1048566" i="9" s="1"/>
  <c r="XFD1048565" i="9" a="1"/>
  <c r="XFD1048565" i="9" s="1"/>
  <c r="XFD1048564" i="9" a="1"/>
  <c r="XFD1048564" i="9" s="1"/>
  <c r="XFD1048563" i="9" a="1"/>
  <c r="XFD1048563" i="9" s="1"/>
  <c r="XFD1048562" i="9" a="1"/>
  <c r="XFD1048562" i="9" s="1"/>
  <c r="XFD1048561" i="9"/>
  <c r="XFD1048560" i="9"/>
  <c r="XFD1048559" i="9"/>
  <c r="XFD1048558" i="9"/>
  <c r="XFD1048557" i="9"/>
  <c r="XFD1048556" i="9"/>
  <c r="XFD1048555" i="9" a="1"/>
  <c r="XFD1048555" i="9" s="1"/>
  <c r="XFD1048554" i="9"/>
  <c r="XFD1048553" i="9"/>
  <c r="XFD1048552" i="9"/>
  <c r="XFD1048551" i="9"/>
  <c r="XFD1048550" i="9"/>
  <c r="B11" i="9" l="1"/>
  <c r="B12" i="9"/>
  <c r="B15" i="9" l="1"/>
  <c r="B20" i="9" s="1"/>
  <c r="B13" i="9"/>
  <c r="B18" i="9" s="1"/>
  <c r="B19"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<sst xmlns="http://schemas.openxmlformats.org/spreadsheetml/2006/main" count="107" uniqueCount="60">
  <si>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</si>
  <si>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</si>
  <si>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</si>
  <si>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</si>
  <si>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</si>
  <si>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Name:</t>
  </si>
  <si>
    <t>jacqu</t>
  </si>
  <si>
    <t>DESKTOP-LARUAH2</t>
  </si>
  <si>
    <t xml:space="preserve"> </t>
  </si>
  <si>
    <t>Option Pricing Model</t>
  </si>
  <si>
    <t>Calculate days in between two dates</t>
  </si>
  <si>
    <t>Inputs</t>
  </si>
  <si>
    <t>End date</t>
  </si>
  <si>
    <t>S</t>
  </si>
  <si>
    <t>E</t>
  </si>
  <si>
    <t>r</t>
  </si>
  <si>
    <t>T</t>
  </si>
  <si>
    <t>Sigma</t>
  </si>
  <si>
    <t>Common denominator</t>
  </si>
  <si>
    <r>
      <t>Formulas for d</t>
    </r>
    <r>
      <rPr>
        <b/>
        <vertAlign val="subscript"/>
        <sz val="11"/>
        <color theme="1"/>
        <rFont val="Calibri"/>
        <family val="2"/>
        <scheme val="minor"/>
      </rPr>
      <t>1</t>
    </r>
    <r>
      <rPr>
        <b/>
        <sz val="11"/>
        <color theme="1"/>
        <rFont val="Calibri"/>
        <family val="2"/>
        <scheme val="minor"/>
      </rPr>
      <t>, d</t>
    </r>
    <r>
      <rPr>
        <b/>
        <vertAlign val="subscript"/>
        <sz val="11"/>
        <color theme="1"/>
        <rFont val="Calibri"/>
        <family val="2"/>
        <scheme val="minor"/>
      </rPr>
      <t>2</t>
    </r>
    <r>
      <rPr>
        <b/>
        <sz val="11"/>
        <color theme="1"/>
        <rFont val="Calibri"/>
        <family val="2"/>
        <scheme val="minor"/>
      </rPr>
      <t>, N(d</t>
    </r>
    <r>
      <rPr>
        <b/>
        <vertAlign val="subscript"/>
        <sz val="11"/>
        <color theme="1"/>
        <rFont val="Calibri"/>
        <family val="2"/>
        <scheme val="minor"/>
      </rPr>
      <t>1</t>
    </r>
    <r>
      <rPr>
        <b/>
        <sz val="11"/>
        <color theme="1"/>
        <rFont val="Calibri"/>
        <family val="2"/>
        <scheme val="minor"/>
      </rPr>
      <t>), N(d</t>
    </r>
    <r>
      <rPr>
        <b/>
        <vertAlign val="subscript"/>
        <sz val="11"/>
        <color theme="1"/>
        <rFont val="Calibri"/>
        <family val="2"/>
        <scheme val="minor"/>
      </rPr>
      <t>2</t>
    </r>
    <r>
      <rPr>
        <b/>
        <sz val="11"/>
        <color theme="1"/>
        <rFont val="Calibri"/>
        <family val="2"/>
        <scheme val="minor"/>
      </rPr>
      <t>)</t>
    </r>
  </si>
  <si>
    <r>
      <t>d</t>
    </r>
    <r>
      <rPr>
        <vertAlign val="subscript"/>
        <sz val="15"/>
        <color rgb="FF404040"/>
        <rFont val="Trebuchet MS"/>
        <family val="2"/>
      </rPr>
      <t>1</t>
    </r>
    <r>
      <rPr>
        <sz val="15"/>
        <color rgb="FF404040"/>
        <rFont val="Trebuchet MS"/>
        <family val="2"/>
      </rPr>
      <t xml:space="preserve"> = </t>
    </r>
    <r>
      <rPr>
        <u/>
        <sz val="15"/>
        <color rgb="FF404040"/>
        <rFont val="Trebuchet MS"/>
        <family val="2"/>
      </rPr>
      <t>ln(S/E) + (r + σ</t>
    </r>
    <r>
      <rPr>
        <u/>
        <vertAlign val="superscript"/>
        <sz val="15"/>
        <color rgb="FF404040"/>
        <rFont val="Trebuchet MS"/>
        <family val="2"/>
      </rPr>
      <t>2</t>
    </r>
    <r>
      <rPr>
        <u/>
        <sz val="15"/>
        <color rgb="FF404040"/>
        <rFont val="Trebuchet MS"/>
        <family val="2"/>
      </rPr>
      <t>/2)T</t>
    </r>
  </si>
  <si>
    <r>
      <t>d</t>
    </r>
    <r>
      <rPr>
        <vertAlign val="subscript"/>
        <sz val="15"/>
        <rFont val="Trebuchet MS"/>
        <family val="2"/>
      </rPr>
      <t>1</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/2)T</t>
    </r>
  </si>
  <si>
    <t xml:space="preserve">    - </t>
  </si>
  <si>
    <r>
      <t>σT</t>
    </r>
    <r>
      <rPr>
        <vertAlign val="superscript"/>
        <sz val="11"/>
        <rFont val="Calibri"/>
        <family val="2"/>
        <scheme val="minor"/>
      </rPr>
      <t>1/2</t>
    </r>
  </si>
  <si>
    <r>
      <t>σT</t>
    </r>
    <r>
      <rPr>
        <u/>
        <vertAlign val="superscript"/>
        <sz val="11"/>
        <rFont val="Calibri"/>
        <family val="2"/>
        <scheme val="minor"/>
      </rPr>
      <t>1/2</t>
    </r>
  </si>
  <si>
    <t>d1</t>
  </si>
  <si>
    <r>
      <t xml:space="preserve">                 σT</t>
    </r>
    <r>
      <rPr>
        <vertAlign val="superscript"/>
        <sz val="14"/>
        <color rgb="FF404040"/>
        <rFont val="Trebuchet MS"/>
        <family val="2"/>
      </rPr>
      <t>1/2</t>
    </r>
  </si>
  <si>
    <r>
      <t xml:space="preserve">                 σT</t>
    </r>
    <r>
      <rPr>
        <vertAlign val="superscript"/>
        <sz val="14"/>
        <rFont val="Trebuchet MS"/>
        <family val="2"/>
      </rPr>
      <t>1/2</t>
    </r>
  </si>
  <si>
    <t>d2</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</si>
  <si>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/2)T - </t>
    </r>
    <r>
      <rPr>
        <u/>
        <sz val="15"/>
        <rFont val="Calibri"/>
        <family val="2"/>
      </rPr>
      <t>σ</t>
    </r>
    <r>
      <rPr>
        <u/>
        <vertAlign val="superscript"/>
        <sz val="15"/>
        <rFont val="Trebuchet MS"/>
        <family val="2"/>
      </rPr>
      <t>2</t>
    </r>
    <r>
      <rPr>
        <u/>
        <sz val="15"/>
        <rFont val="Trebuchet MS"/>
        <family val="2"/>
      </rPr>
      <t>T</t>
    </r>
  </si>
  <si>
    <t>N(d1)</t>
  </si>
  <si>
    <t xml:space="preserve">  </t>
  </si>
  <si>
    <r>
      <t>d</t>
    </r>
    <r>
      <rPr>
        <vertAlign val="subscript"/>
        <sz val="15"/>
        <color rgb="FF404040"/>
        <rFont val="Trebuchet MS"/>
        <family val="2"/>
      </rPr>
      <t>2</t>
    </r>
    <r>
      <rPr>
        <sz val="15"/>
        <color rgb="FF404040"/>
        <rFont val="Trebuchet MS"/>
        <family val="2"/>
      </rPr>
      <t xml:space="preserve"> = d</t>
    </r>
    <r>
      <rPr>
        <vertAlign val="subscript"/>
        <sz val="15"/>
        <color rgb="FF404040"/>
        <rFont val="Trebuchet MS"/>
        <family val="2"/>
      </rPr>
      <t>1</t>
    </r>
    <r>
      <rPr>
        <sz val="15"/>
        <color rgb="FF404040"/>
        <rFont val="Trebuchet MS"/>
        <family val="2"/>
      </rPr>
      <t xml:space="preserve"> -  σT</t>
    </r>
    <r>
      <rPr>
        <vertAlign val="superscript"/>
        <sz val="15"/>
        <color rgb="FF404040"/>
        <rFont val="Trebuchet MS"/>
        <family val="2"/>
      </rPr>
      <t>1/2</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</si>
  <si>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</si>
  <si>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 </t>
    </r>
    <r>
      <rPr>
        <u/>
        <sz val="15"/>
        <rFont val="Calibri"/>
        <family val="2"/>
      </rPr>
      <t>σ</t>
    </r>
    <r>
      <rPr>
        <u/>
        <vertAlign val="superscript"/>
        <sz val="15"/>
        <rFont val="Trebuchet MS"/>
        <family val="2"/>
      </rPr>
      <t>2</t>
    </r>
    <r>
      <rPr>
        <u/>
        <sz val="15"/>
        <rFont val="Trebuchet MS"/>
        <family val="2"/>
      </rPr>
      <t>T</t>
    </r>
  </si>
  <si>
    <t>N(-d1)</t>
  </si>
  <si>
    <r>
      <t>N(</t>
    </r>
    <r>
      <rPr>
        <sz val="15"/>
        <color rgb="FF404040"/>
        <rFont val="Calibri"/>
        <family val="2"/>
      </rPr>
      <t>·</t>
    </r>
    <r>
      <rPr>
        <sz val="17.25"/>
        <color rgb="FF404040"/>
        <rFont val="Trebuchet MS"/>
        <family val="2"/>
      </rPr>
      <t>) use Normsdist function</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</si>
  <si>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</si>
  <si>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t>
    </r>
  </si>
  <si>
    <t>Outputs</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</si>
  <si>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 T </t>
    </r>
  </si>
  <si>
    <t>Call price</t>
  </si>
  <si>
    <r>
      <t>C = S x N(d</t>
    </r>
    <r>
      <rPr>
        <vertAlign val="subscript"/>
        <sz val="14"/>
        <color rgb="FF404040"/>
        <rFont val="Trebuchet MS"/>
        <family val="2"/>
      </rPr>
      <t>1</t>
    </r>
    <r>
      <rPr>
        <sz val="14"/>
        <color rgb="FF404040"/>
        <rFont val="Trebuchet MS"/>
        <family val="2"/>
      </rPr>
      <t>) – E (e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t>
    </r>
  </si>
  <si>
    <t>Put price (put-call parity)</t>
  </si>
  <si>
    <r>
      <t>P+S = C+E(e</t>
    </r>
    <r>
      <rPr>
        <vertAlign val="superscript"/>
        <sz val="14"/>
        <color rgb="FF404040"/>
        <rFont val="Trebuchet MS"/>
        <family val="2"/>
      </rPr>
      <t>-rt</t>
    </r>
    <r>
      <rPr>
        <sz val="14"/>
        <color rgb="FF404040"/>
        <rFont val="Trebuchet MS"/>
        <family val="2"/>
      </rPr>
      <t>);  P=C-S+E(e</t>
    </r>
    <r>
      <rPr>
        <vertAlign val="superscript"/>
        <sz val="14"/>
        <color rgb="FF404040"/>
        <rFont val="Trebuchet MS"/>
        <family val="2"/>
      </rPr>
      <t>-rt</t>
    </r>
    <r>
      <rPr>
        <sz val="14"/>
        <color rgb="FF404040"/>
        <rFont val="Trebuchet MS"/>
        <family val="2"/>
      </rPr>
      <t>)</t>
    </r>
  </si>
  <si>
    <t>Put price (direct formula)</t>
  </si>
  <si>
    <r>
      <t>P  = E(e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 – S x N(-d</t>
    </r>
    <r>
      <rPr>
        <vertAlign val="subscript"/>
        <sz val="14"/>
        <color rgb="FF404040"/>
        <rFont val="Trebuchet MS"/>
        <family val="2"/>
      </rPr>
      <t>1</t>
    </r>
    <r>
      <rPr>
        <sz val="14"/>
        <color rgb="FF404040"/>
        <rFont val="Trebuchet MS"/>
        <family val="2"/>
      </rPr>
      <t>)</t>
    </r>
  </si>
  <si>
    <t>biyua</t>
  </si>
  <si>
    <t>LAPTOP-KLQC23A4</t>
  </si>
  <si>
    <t>DESKTOP-6E4S8K3</t>
  </si>
  <si>
    <t>GT Login</t>
  </si>
  <si>
    <t>Put some value here BEFORE you run solver.  Just use 25%</t>
  </si>
  <si>
    <t>Start date</t>
  </si>
  <si>
    <t>Days to maturity</t>
  </si>
  <si>
    <t>% of year</t>
  </si>
  <si>
    <t>Mine is jgarner47 (please do no put 9 digit student ID)</t>
  </si>
  <si>
    <t>brody</t>
  </si>
  <si>
    <t>DYLANFLOWX13</t>
  </si>
  <si>
    <t>Vo</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</si>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</sst>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164" formatCode="0.0000"/>
    <numFmt numFmtId="165" formatCode="0.0000000000"/>
  </numFmts>
  <fonts count="29"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sz val="11"/>
      <color theme="4" tint="-0.249977111117893"/>
      <name val="Calibri"/>
      <family val="2"/>
      <scheme val="minor"/>
    </font>
    <font>
      <b/>
      <vertAlign val="subscript"/>
      <sz val="11"/>
      <color theme="1"/>
      <name val="Calibri"/>
      <family val="2"/>
      <scheme val="minor"/>
    </font>
    <font>
      <sz val="15"/>
      <color rgb="FF404040"/>
      <name val="Trebuchet MS"/>
      <family val="2"/>
    </font>
    <font>
      <vertAlign val="subscript"/>
      <sz val="15"/>
      <color rgb="FF404040"/>
      <name val="Trebuchet MS"/>
      <family val="2"/>
    </font>
    <font>
      <u/>
      <sz val="15"/>
      <color rgb="FF404040"/>
      <name val="Trebuchet MS"/>
      <family val="2"/>
    </font>
    <font>
      <u/>
      <vertAlign val="superscript"/>
      <sz val="15"/>
      <color rgb="FF404040"/>
      <name val="Trebuchet MS"/>
      <family val="2"/>
    </font>
    <font>
      <sz val="15"/>
      <name val="Trebuchet MS"/>
      <family val="2"/>
    </font>
    <font>
      <vertAlign val="subscript"/>
      <sz val="15"/>
      <name val="Trebuchet MS"/>
      <family val="2"/>
    </font>
    <font>
      <u/>
      <sz val="15"/>
      <name val="Trebuchet MS"/>
      <family val="2"/>
    </font>
    <font>
      <u/>
      <vertAlign val="superscript"/>
      <sz val="15"/>
      <name val="Trebuchet MS"/>
      <family val="2"/>
    </font>
    <font>
      <vertAlign val="superscript"/>
      <sz val="11"/>
      <name val="Calibri"/>
      <family val="2"/>
      <scheme val="minor"/>
    </font>
    <font>
      <u/>
      <sz val="11"/>
      <name val="Calibri"/>
      <family val="2"/>
      <scheme val="minor"/>
    </font>
    <font>
      <u/>
      <vertAlign val="superscript"/>
      <sz val="11"/>
      <name val="Calibri"/>
      <family val="2"/>
      <scheme val="minor"/>
    </font>
    <font>
      <sz val="14"/>
      <color rgb="FF404040"/>
      <name val="Trebuchet MS"/>
      <family val="2"/>
    </font>
    <font>
      <vertAlign val="superscript"/>
      <sz val="14"/>
      <color rgb="FF404040"/>
      <name val="Trebuchet MS"/>
      <family val="2"/>
    </font>
    <font>
      <sz val="14"/>
      <name val="Trebuchet MS"/>
      <family val="2"/>
    </font>
    <font>
      <vertAlign val="superscript"/>
      <sz val="14"/>
      <name val="Trebuchet MS"/>
      <family val="2"/>
    </font>
    <font>
      <u/>
      <sz val="15"/>
      <name val="Calibri"/>
      <family val="2"/>
    </font>
    <font>
      <vertAlign val="superscript"/>
      <sz val="15"/>
      <color rgb="FF404040"/>
      <name val="Trebuchet MS"/>
      <family val="2"/>
    </font>
    <font>
      <sz val="15"/>
      <color rgb="FF404040"/>
      <name val="Calibri"/>
      <family val="2"/>
    </font>
    <font>
      <sz val="17.25"/>
      <color rgb="FF404040"/>
      <name val="Trebuchet MS"/>
      <family val="2"/>
    </font>
    <font>
      <vertAlign val="subscript"/>
      <sz val="14"/>
      <color rgb="FF404040"/>
      <name val="Trebuchet MS"/>
      <family val="2"/>
    </font>
    <font>
      <b/>
      <sz val="11"/>
      <color rgb="FFFF0000"/>
      <name val="Calibri"/>
      <family val="2"/>
      <scheme val="minor"/>
    </font>
  </fonts>
  <fills count="6">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rgb="FFFFFFCC"/>
        <bgColor indexed="64"/>
      </patternFill>
    </fill>
    <fill>
      <patternFill patternType="solid">
        <fgColor theme="0" tint="-0.14999847407452621"/>
        <bgColor indexed="64"/>
      </patternFill>
    </fill>
  </fills>
  <borders count="2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63">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6" xfId="0" applyBorder="1"/>
    <xf numFmtId="14" fontId="0" fillId="0" borderId="6" xfId="0" applyNumberFormat="1" applyBorder="1"/>
    <xf numFmtId="0" fontId="0" fillId="0" borderId="7" xfId="0" applyBorder="1"/>
    <xf numFmtId="0" fontId="0" fillId="0" borderId="8" xfId="0" applyBorder="1"/>
    <xf numFmtId="0" fontId="0" fillId="0" borderId="12" xfId="0" applyBorder="1"/>
    <xf numFmtId="0" fontId="0" fillId="0" borderId="9" xfId="0" applyBorder="1"/>
    <xf numFmtId="0" fontId="4" fillId="0" borderId="0" xfId="0" applyFont="1"/>
    <xf numFmtId="0" fontId="5" fillId="0" borderId="0" xfId="0" applyFont="1"/>
    <xf numFmtId="0" fontId="8" fillId="0" borderId="3" xfId="0" applyFont="1" applyBorder="1" applyAlignment="1">
      <alignment horizontal="left" vertical="center" indent="4" readingOrder="1"/>
    </xf>
    <xf numFmtId="0" fontId="12" fillId="0" borderId="3" xfId="0" applyFont="1" applyBorder="1" applyAlignment="1">
      <alignment horizontal="left" vertical="center" indent="4" readingOrder="1"/>
    </xf>
    <xf numFmtId="0" fontId="4" fillId="0" borderId="11" xfId="0" applyFont="1" applyBorder="1"/>
    <xf numFmtId="0" fontId="17" fillId="0" borderId="4" xfId="0" applyFont="1" applyBorder="1"/>
    <xf numFmtId="164" fontId="0" fillId="2" borderId="10" xfId="1" quotePrefix="1" applyNumberFormat="1" applyFont="1" applyFill="1" applyBorder="1"/>
    <xf numFmtId="164" fontId="0" fillId="0" borderId="0" xfId="0" applyNumberFormat="1"/>
    <xf numFmtId="0" fontId="19" fillId="0" borderId="8" xfId="0" applyFont="1" applyBorder="1" applyAlignment="1">
      <alignment horizontal="left" vertical="center" indent="5" readingOrder="1"/>
    </xf>
    <xf numFmtId="0" fontId="21" fillId="0" borderId="8" xfId="0" applyFont="1" applyBorder="1" applyAlignment="1">
      <alignment horizontal="left" vertical="center" indent="5" readingOrder="1"/>
    </xf>
    <xf numFmtId="0" fontId="4" fillId="0" borderId="12" xfId="0" applyFont="1" applyBorder="1"/>
    <xf numFmtId="0" fontId="4" fillId="0" borderId="9" xfId="0" applyFont="1" applyBorder="1"/>
    <xf numFmtId="0" fontId="8" fillId="0" borderId="0" xfId="0" applyFont="1" applyAlignment="1">
      <alignment horizontal="left" vertical="center" indent="4" readingOrder="1"/>
    </xf>
    <xf numFmtId="0" fontId="4" fillId="0" borderId="4" xfId="0" applyFont="1" applyBorder="1"/>
    <xf numFmtId="164" fontId="0" fillId="2" borderId="10" xfId="1" applyNumberFormat="1" applyFont="1" applyFill="1" applyBorder="1"/>
    <xf numFmtId="0" fontId="8" fillId="0" borderId="1" xfId="0" applyFont="1" applyBorder="1" applyAlignment="1">
      <alignment horizontal="left" vertical="center" indent="4" readingOrder="1"/>
    </xf>
    <xf numFmtId="165" fontId="5" fillId="0" borderId="0" xfId="0" applyNumberFormat="1" applyFont="1"/>
    <xf numFmtId="0" fontId="0" fillId="0" borderId="3" xfId="0" applyBorder="1"/>
    <xf numFmtId="0" fontId="0" fillId="0" borderId="11" xfId="0" applyBorder="1"/>
    <xf numFmtId="44" fontId="0" fillId="0" borderId="11" xfId="2" applyFont="1" applyBorder="1"/>
    <xf numFmtId="0" fontId="0" fillId="0" borderId="4" xfId="0" applyBorder="1"/>
    <xf numFmtId="0" fontId="19" fillId="0" borderId="1" xfId="0" applyFont="1" applyBorder="1" applyAlignment="1">
      <alignment horizontal="left" vertical="center" indent="4" readingOrder="1"/>
    </xf>
    <xf numFmtId="2" fontId="0" fillId="2" borderId="10" xfId="1" quotePrefix="1" applyNumberFormat="1" applyFont="1" applyFill="1" applyBorder="1"/>
    <xf numFmtId="0" fontId="19" fillId="0" borderId="13" xfId="0" applyFont="1" applyBorder="1" applyAlignment="1">
      <alignment horizontal="left" vertical="center" indent="4" readingOrder="1"/>
    </xf>
    <xf numFmtId="2" fontId="0" fillId="2" borderId="10" xfId="1" applyNumberFormat="1" applyFont="1" applyFill="1" applyBorder="1"/>
    <xf numFmtId="0" fontId="0" fillId="3" borderId="5" xfId="0" applyFill="1" applyBorder="1"/>
    <xf numFmtId="44" fontId="0" fillId="2" borderId="10" xfId="2" applyFont="1" applyFill="1" applyBorder="1"/>
    <xf numFmtId="0" fontId="6" fillId="4" borderId="14" xfId="0" applyFont="1" applyFill="1" applyBorder="1"/>
    <xf numFmtId="10" fontId="6" fillId="4" borderId="15" xfId="0" applyNumberFormat="1" applyFont="1" applyFill="1" applyBorder="1"/>
    <xf numFmtId="10" fontId="6" fillId="4" borderId="16" xfId="0" applyNumberFormat="1" applyFont="1" applyFill="1" applyBorder="1"/>
    <xf numFmtId="0" fontId="0" fillId="5" borderId="10" xfId="0" applyFill="1" applyBorder="1"/>
    <xf numFmtId="0" fontId="28" fillId="0" borderId="12" xfId="0" applyFont="1" applyBorder="1"/>
    <xf numFmtId="14" fontId="6" fillId="4" borderId="17" xfId="0" applyNumberFormat="1" applyFont="1" applyFill="1" applyBorder="1"/>
    <xf numFmtId="14" fontId="0" fillId="0" borderId="17" xfId="0" applyNumberFormat="1" applyBorder="1"/>
    <xf numFmtId="14" fontId="0" fillId="0" borderId="18" xfId="0" applyNumberFormat="1" applyBorder="1"/>
    <xf numFmtId="0" fontId="0" fillId="0" borderId="18" xfId="0" applyBorder="1"/>
    <xf numFmtId="0" fontId="0" fillId="0" borderId="19" xfId="0" applyBorder="1"/>
    <xf numFmtId="8" fontId="0" fillId="0" borderId="0" xfId="0" applyNumberFormat="1"/>
    <xf numFmtId="10" fontId="0" fillId="0" borderId="0" xfId="0" applyNumberFormat="1"/>
    <xf numFmtId="164" fontId="6" fillId="4" borderId="15" xfId="0" applyNumberFormat="1" applyFont="1" applyFill="1" applyBorder="1"/>
    <xf numFmtId="0" fontId="3" fillId="0" borderId="1"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3" fillId="0" borderId="0" xfId="0" applyFont="1" applyAlignment="1">
      <alignment horizontal="center"/>
    </xf>
    <xf numFmtId="0" fontId="3" fillId="3" borderId="1" xfId="0" applyFont="1" applyFill="1" applyBorder="1" applyAlignment="1">
      <alignment horizontal="center"/>
    </xf>
    <xf numFmtId="0" fontId="3" fillId="3" borderId="11" xfId="0" applyFont="1" applyFill="1" applyBorder="1" applyAlignment="1">
      <alignment horizontal="center"/>
    </xf>
    <xf numFmtId="0" fontId="3" fillId="3" borderId="5" xfId="0" applyFont="1" applyFill="1" applyBorder="1" applyAlignment="1">
      <alignment horizont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5" xfId="0" applyFill="1" applyBorder="1" applyAlignment="1">
      <alignment horizontal="center"/>
    </xf>
    <xf numFmtId="0" fontId="0" fillId="3" borderId="2" xfId="0" applyFill="1" applyBorder="1" applyAlignment="1">
      <alignment horizontal="center"/>
    </xf>
  </cellXfs>
  <cellStyles count="3">
    <cellStyle name="Currency" xfId="2" builtinId="4"/>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1E72698-3D9B-40DA-B8E0-8ED9DAAE4FDC}">
  <we:reference id="1e10eb66-9ba2-46e3-84ee-57e2a49831f0" version="3.0.0.1" store="EXCatalog" storeType="EXCatalog"/>
  <we:alternateReferences>
    <we:reference id="WA104100404" version="3.0.0.1" store="en-US" storeType="OMEX"/>
  </we:alternateReferences>
  <we:properties>
    <we:property name="UniqueID" value="&quot;20256121752387919728&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H17" sqref="H17"/>
    </sheetView>
  </sheetViews>
  <sheetFormatPr defaultColWidth="8.85546875" defaultRowHeight="15" x14ac:dyDescent="0.25"/>
  <cols>
    <col min="2" max="2" width="27.42578125" customWidth="1"/>
  </cols>
  <sheetData>
    <row r="1" spans="1:11" x14ac:dyDescent="0.25">
      <c r="A1" t="s">
        <v>5</v>
      </c>
      <c r="B1" s="41" t="s">
        <v>58</v>
      </c>
    </row>
    <row r="2" spans="1:11" x14ac:dyDescent="0.25">
      <c r="A2" t="s">
        <v>50</v>
      </c>
      <c r="B2" s="41" t="s">
        <v>59</v>
      </c>
      <c r="D2" t="s">
        <v>55</v>
      </c>
    </row>
    <row r="9" spans="1:11" x14ac:dyDescent="0.25">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63985-A73F-D341-90E1-5E759A54925C}">
  <sheetPr codeName="Sheet4"/>
  <dimension ref="A1:XFD1048575"/>
  <sheetViews>
    <sheetView zoomScale="160" zoomScaleNormal="160" workbookViewId="0">
      <selection activeCell="B7" sqref="B7"/>
    </sheetView>
  </sheetViews>
  <sheetFormatPr defaultColWidth="8.85546875" defaultRowHeight="15" x14ac:dyDescent="0.25"/>
  <cols>
    <col min="1" max="1" width="21.28515625" customWidth="1"/>
    <col min="2" max="2" width="14.28515625" customWidth="1"/>
    <col min="6" max="6" width="26.85546875" customWidth="1"/>
    <col min="7" max="7" width="51.28515625" customWidth="1"/>
    <col min="8" max="8" width="38.28515625" customWidth="1"/>
    <col min="12" max="12" width="11.7109375" customWidth="1"/>
  </cols>
  <sheetData>
    <row r="1" spans="1:15" ht="15.75" thickBot="1" x14ac:dyDescent="0.3">
      <c r="A1" s="51" t="s">
        <v>9</v>
      </c>
      <c r="B1" s="52"/>
      <c r="C1" s="52"/>
      <c r="D1" s="52"/>
      <c r="E1" s="52"/>
      <c r="F1" s="53"/>
      <c r="G1" s="54" t="s">
        <v>10</v>
      </c>
      <c r="H1" s="55"/>
    </row>
    <row r="2" spans="1:15" ht="15.75" thickBot="1" x14ac:dyDescent="0.3">
      <c r="A2" s="56" t="s">
        <v>11</v>
      </c>
      <c r="B2" s="57"/>
      <c r="C2" s="58"/>
      <c r="D2" s="58"/>
      <c r="E2" s="58"/>
      <c r="F2" s="36"/>
      <c r="G2" s="44" t="s">
        <v>12</v>
      </c>
      <c r="H2" s="43">
        <v>45884</v>
      </c>
    </row>
    <row r="3" spans="1:15" ht="15.75" thickBot="1" x14ac:dyDescent="0.3">
      <c r="A3" s="5" t="s">
        <v>13</v>
      </c>
      <c r="B3" s="38">
        <v>61.69</v>
      </c>
      <c r="G3" s="45" t="s">
        <v>52</v>
      </c>
      <c r="H3" s="43">
        <v>45841</v>
      </c>
    </row>
    <row r="4" spans="1:15" x14ac:dyDescent="0.25">
      <c r="A4" s="5" t="s">
        <v>14</v>
      </c>
      <c r="B4" s="38">
        <v>65</v>
      </c>
      <c r="G4" s="46" t="s">
        <v>53</v>
      </c>
      <c r="H4" s="25">
        <f>_xlfn.DAYS(H2,H3)</f>
        <v>43</v>
      </c>
    </row>
    <row r="5" spans="1:15" ht="15.75" thickBot="1" x14ac:dyDescent="0.3">
      <c r="A5" s="5" t="s">
        <v>15</v>
      </c>
      <c r="B5" s="39">
        <v>4.3499999999999997E-2</v>
      </c>
      <c r="G5" s="47" t="s">
        <v>54</v>
      </c>
      <c r="H5" s="25">
        <f>H4/365</f>
        <v>0.11780821917808219</v>
      </c>
    </row>
    <row r="6" spans="1:15" x14ac:dyDescent="0.25">
      <c r="A6" s="5" t="s">
        <v>16</v>
      </c>
      <c r="B6" s="50">
        <f>H5</f>
        <v>0.11780821917808219</v>
      </c>
      <c r="G6" s="6" t="s">
        <v>8</v>
      </c>
      <c r="H6" s="7"/>
    </row>
    <row r="7" spans="1:15" ht="15.75" thickBot="1" x14ac:dyDescent="0.3">
      <c r="A7" s="8" t="s">
        <v>17</v>
      </c>
      <c r="B7" s="40">
        <v>0.68008642179071477</v>
      </c>
      <c r="C7" s="42" t="s">
        <v>51</v>
      </c>
      <c r="D7" s="42"/>
      <c r="E7" s="42"/>
      <c r="F7" s="42"/>
      <c r="G7" s="8"/>
      <c r="H7" s="10"/>
    </row>
    <row r="8" spans="1:15" ht="15.75" thickBot="1" x14ac:dyDescent="0.3">
      <c r="H8" s="11"/>
      <c r="I8" s="11"/>
      <c r="J8" s="11"/>
      <c r="K8" s="11"/>
      <c r="L8" s="11"/>
      <c r="M8" s="11"/>
      <c r="N8" s="11" t="s">
        <v>18</v>
      </c>
      <c r="O8" s="12"/>
    </row>
    <row r="9" spans="1:15" ht="24" thickBot="1" x14ac:dyDescent="0.4">
      <c r="A9" s="56" t="s">
        <v>19</v>
      </c>
      <c r="B9" s="57"/>
      <c r="C9" s="58"/>
      <c r="D9" s="58"/>
      <c r="E9" s="58"/>
      <c r="F9" s="58"/>
      <c r="G9" s="13" t="s">
        <v>20</v>
      </c>
      <c r="H9" s="14" t="s">
        <v>21</v>
      </c>
      <c r="I9" s="15"/>
      <c r="J9" s="15"/>
      <c r="K9" s="15"/>
      <c r="L9" s="15" t="s">
        <v>22</v>
      </c>
      <c r="M9" s="15" t="s">
        <v>23</v>
      </c>
      <c r="N9" s="16" t="s">
        <v>24</v>
      </c>
      <c r="O9" s="12"/>
    </row>
    <row r="10" spans="1:15" ht="22.5" thickBot="1" x14ac:dyDescent="0.3">
      <c r="A10" t="s">
        <v>25</v>
      </c>
      <c r="B10" s="17">
        <f>(LN(B3/B4)+(B5+0.5*B7^2)*B6)/(B7*SQRT(B6))</f>
        <v>-8.5236703776788256E-2</v>
      </c>
      <c r="C10" t="s">
        <v>8</v>
      </c>
      <c r="D10" s="18" t="s">
        <v>8</v>
      </c>
      <c r="G10" s="19" t="s">
        <v>26</v>
      </c>
      <c r="H10" s="20" t="s">
        <v>27</v>
      </c>
      <c r="I10" s="21"/>
      <c r="J10" s="21"/>
      <c r="K10" s="21"/>
      <c r="L10" s="21"/>
      <c r="M10" s="21"/>
      <c r="N10" s="22" t="s">
        <v>23</v>
      </c>
      <c r="O10" s="12"/>
    </row>
    <row r="11" spans="1:15" ht="24" thickBot="1" x14ac:dyDescent="0.3">
      <c r="A11" t="s">
        <v>28</v>
      </c>
      <c r="B11" s="17">
        <f>B10-B7*SQRT(B6)</f>
        <v>-0.31866413973087487</v>
      </c>
      <c r="C11" t="s">
        <v>8</v>
      </c>
      <c r="D11" s="18" t="s">
        <v>8</v>
      </c>
      <c r="G11" s="23" t="s">
        <v>8</v>
      </c>
      <c r="H11" s="14" t="s">
        <v>29</v>
      </c>
      <c r="I11" s="15"/>
      <c r="J11" s="15"/>
      <c r="K11" s="24"/>
      <c r="L11" s="12"/>
      <c r="M11" s="12"/>
      <c r="N11" s="12"/>
      <c r="O11" s="12"/>
    </row>
    <row r="12" spans="1:15" ht="24" thickBot="1" x14ac:dyDescent="0.3">
      <c r="A12" t="s">
        <v>30</v>
      </c>
      <c r="B12" s="25">
        <f>NORMSDIST(B10)</f>
        <v>0.46603660567537503</v>
      </c>
      <c r="C12" t="s">
        <v>8</v>
      </c>
      <c r="D12" t="s">
        <v>31</v>
      </c>
      <c r="G12" s="26" t="s">
        <v>32</v>
      </c>
      <c r="H12" s="20" t="s">
        <v>27</v>
      </c>
      <c r="I12" s="21"/>
      <c r="J12" s="21"/>
      <c r="K12" s="22"/>
      <c r="L12" s="12"/>
      <c r="M12" s="12"/>
      <c r="N12" s="12"/>
      <c r="O12" s="12"/>
    </row>
    <row r="13" spans="1:15" ht="24" thickBot="1" x14ac:dyDescent="0.3">
      <c r="A13" t="s">
        <v>33</v>
      </c>
      <c r="B13" s="25">
        <f>NORMSDIST(B11)</f>
        <v>0.37499060518430366</v>
      </c>
      <c r="C13" t="s">
        <v>8</v>
      </c>
      <c r="E13" s="48"/>
      <c r="H13" s="14" t="s">
        <v>34</v>
      </c>
      <c r="I13" s="15"/>
      <c r="J13" s="15"/>
      <c r="K13" s="24"/>
      <c r="L13" s="12"/>
      <c r="M13" s="12"/>
      <c r="N13" s="12"/>
      <c r="O13" s="12"/>
    </row>
    <row r="14" spans="1:15" ht="23.25" thickBot="1" x14ac:dyDescent="0.3">
      <c r="A14" t="s">
        <v>35</v>
      </c>
      <c r="B14" s="25">
        <f>NORMSDIST(-B10)</f>
        <v>0.53396339432462492</v>
      </c>
      <c r="C14" t="s">
        <v>8</v>
      </c>
      <c r="E14" s="48"/>
      <c r="G14" s="26" t="s">
        <v>36</v>
      </c>
      <c r="H14" s="20" t="s">
        <v>27</v>
      </c>
      <c r="I14" s="21"/>
      <c r="J14" s="21"/>
      <c r="K14" s="22"/>
      <c r="L14" s="12"/>
      <c r="M14" s="12"/>
      <c r="N14" s="12"/>
      <c r="O14" s="12"/>
    </row>
    <row r="15" spans="1:15" ht="23.25" x14ac:dyDescent="0.25">
      <c r="A15" t="s">
        <v>37</v>
      </c>
      <c r="B15" s="25">
        <f>NORMSDIST(-B11)</f>
        <v>0.62500939481569628</v>
      </c>
      <c r="C15" t="s">
        <v>8</v>
      </c>
      <c r="E15" s="49"/>
      <c r="H15" s="14" t="s">
        <v>38</v>
      </c>
      <c r="I15" s="15"/>
      <c r="J15" s="15"/>
      <c r="K15" s="24"/>
      <c r="L15" s="12"/>
      <c r="M15" s="12"/>
      <c r="N15" s="12"/>
      <c r="O15" s="12"/>
    </row>
    <row r="16" spans="1:15" ht="22.5" thickBot="1" x14ac:dyDescent="0.3">
      <c r="E16" s="1"/>
      <c r="H16" s="20" t="s">
        <v>27</v>
      </c>
      <c r="I16" s="21"/>
      <c r="J16" s="21"/>
      <c r="K16" s="22"/>
      <c r="L16" s="12"/>
      <c r="M16" s="12"/>
      <c r="N16" s="27"/>
      <c r="O16" s="12"/>
    </row>
    <row r="17" spans="1:15" ht="24" thickBot="1" x14ac:dyDescent="0.3">
      <c r="A17" s="59" t="s">
        <v>39</v>
      </c>
      <c r="B17" s="60"/>
      <c r="C17" s="61"/>
      <c r="D17" s="61"/>
      <c r="E17" s="61"/>
      <c r="F17" s="62"/>
      <c r="H17" s="14" t="s">
        <v>40</v>
      </c>
      <c r="I17" s="15"/>
      <c r="J17" s="15"/>
      <c r="K17" s="24"/>
      <c r="L17" s="12"/>
      <c r="M17" s="12"/>
      <c r="N17" s="12"/>
      <c r="O17" s="12"/>
    </row>
    <row r="18" spans="1:15" ht="22.5" thickBot="1" x14ac:dyDescent="0.3">
      <c r="A18" s="28" t="s">
        <v>41</v>
      </c>
      <c r="B18" s="37">
        <f>B3*B12-B4*EXP(-B5*B6)*B13</f>
        <v>4.4999997496220168</v>
      </c>
      <c r="C18" s="29" t="s">
        <v>8</v>
      </c>
      <c r="D18" s="30" t="s">
        <v>8</v>
      </c>
      <c r="E18" s="29"/>
      <c r="F18" s="31" t="s">
        <v>8</v>
      </c>
      <c r="G18" s="32" t="s">
        <v>42</v>
      </c>
      <c r="H18" s="20" t="s">
        <v>27</v>
      </c>
      <c r="I18" s="21"/>
      <c r="J18" s="21"/>
      <c r="K18" s="22"/>
      <c r="L18" s="12"/>
      <c r="M18" s="12"/>
      <c r="N18" s="12"/>
    </row>
    <row r="19" spans="1:15" ht="22.5" thickBot="1" x14ac:dyDescent="0.3">
      <c r="A19" s="5" t="s">
        <v>43</v>
      </c>
      <c r="B19" s="33">
        <f>B18-B3+B4*EXP(-B5*B6)</f>
        <v>7.4777490724973603</v>
      </c>
      <c r="C19" t="s">
        <v>8</v>
      </c>
      <c r="D19" t="s">
        <v>8</v>
      </c>
      <c r="E19" t="s">
        <v>8</v>
      </c>
      <c r="F19" s="7"/>
      <c r="G19" s="34" t="s">
        <v>44</v>
      </c>
      <c r="H19" s="12"/>
      <c r="I19" s="12"/>
      <c r="J19" s="12"/>
      <c r="K19" s="12"/>
      <c r="L19" s="12"/>
      <c r="M19" s="12"/>
      <c r="N19" s="12"/>
    </row>
    <row r="20" spans="1:15" ht="22.5" thickBot="1" x14ac:dyDescent="0.3">
      <c r="A20" s="8" t="s">
        <v>45</v>
      </c>
      <c r="B20" s="35">
        <f>B4*EXP(-B5*B6)*B15-B3*B14</f>
        <v>7.4777490724973603</v>
      </c>
      <c r="C20" s="9" t="s">
        <v>8</v>
      </c>
      <c r="D20" s="9" t="s">
        <v>8</v>
      </c>
      <c r="E20" s="9"/>
      <c r="F20" s="10"/>
      <c r="G20" s="34" t="s">
        <v>46</v>
      </c>
    </row>
    <row r="21" spans="1:15" ht="19.5" thickBot="1" x14ac:dyDescent="0.3">
      <c r="G21" s="34" t="s">
        <v>8</v>
      </c>
    </row>
    <row r="23" spans="1:15" x14ac:dyDescent="0.25">
      <c r="C23" t="s">
        <v>8</v>
      </c>
    </row>
    <row r="26" spans="1:15" x14ac:dyDescent="0.25">
      <c r="H26">
        <v>0</v>
      </c>
    </row>
    <row r="1048550" spans="16384:16384" x14ac:dyDescent="0.25">
      <c r="XFD1048550">
        <f>solver_pre</f>
        <v>9.9999999999999995E-7</v>
      </c>
    </row>
    <row r="1048551" spans="16384:16384" x14ac:dyDescent="0.25">
      <c r="XFD1048551">
        <f>solver_scl</f>
        <v>1</v>
      </c>
    </row>
    <row r="1048552" spans="16384:16384" x14ac:dyDescent="0.25">
      <c r="XFD1048552">
        <f>solver_rlx</f>
        <v>2</v>
      </c>
    </row>
    <row r="1048553" spans="16384:16384" x14ac:dyDescent="0.25">
      <c r="XFD1048553">
        <f>solver_tol</f>
        <v>0.01</v>
      </c>
    </row>
    <row r="1048554" spans="16384:16384" x14ac:dyDescent="0.25">
      <c r="XFD1048554">
        <f>solver_cvg</f>
        <v>1E-4</v>
      </c>
    </row>
    <row r="1048555" spans="16384:16384" x14ac:dyDescent="0.25">
      <c r="XFD1048555" t="e" cm="1">
        <f t="array" ref="XFD1048555">AREAS(solver_adj1)</f>
        <v>#NAME?</v>
      </c>
    </row>
    <row r="1048556" spans="16384:16384" x14ac:dyDescent="0.25">
      <c r="XFD1048556">
        <f>solver_ssz</f>
        <v>100</v>
      </c>
    </row>
    <row r="1048557" spans="16384:16384" x14ac:dyDescent="0.25">
      <c r="XFD1048557">
        <f>solver_rsd</f>
        <v>0</v>
      </c>
    </row>
    <row r="1048558" spans="16384:16384" x14ac:dyDescent="0.25">
      <c r="XFD1048558">
        <f>solver_mrt</f>
        <v>7.4999999999999997E-2</v>
      </c>
    </row>
    <row r="1048559" spans="16384:16384" x14ac:dyDescent="0.25">
      <c r="XFD1048559">
        <f>solver_mni</f>
        <v>30</v>
      </c>
    </row>
    <row r="1048560" spans="16384:16384" x14ac:dyDescent="0.25">
      <c r="XFD1048560">
        <f>solver_rbv</f>
        <v>1</v>
      </c>
    </row>
    <row r="1048561" spans="16384:16384" x14ac:dyDescent="0.25">
      <c r="XFD1048561">
        <f>solver_neg</f>
        <v>1</v>
      </c>
    </row>
    <row r="1048562" spans="16384:16384" x14ac:dyDescent="0.25">
      <c r="XFD1048562" t="e" cm="1">
        <f t="array" ref="XFD1048562">solver_ntr</f>
        <v>#NAME?</v>
      </c>
    </row>
    <row r="1048563" spans="16384:16384" x14ac:dyDescent="0.25">
      <c r="XFD1048563" t="e" cm="1">
        <f t="array" ref="XFD1048563">solver_acc</f>
        <v>#NAME?</v>
      </c>
    </row>
    <row r="1048564" spans="16384:16384" x14ac:dyDescent="0.25">
      <c r="XFD1048564" t="e" cm="1">
        <f t="array" ref="XFD1048564">solver_res</f>
        <v>#NAME?</v>
      </c>
    </row>
    <row r="1048565" spans="16384:16384" x14ac:dyDescent="0.25">
      <c r="XFD1048565" t="e" cm="1">
        <f t="array" ref="XFD1048565">solver_ars</f>
        <v>#NAME?</v>
      </c>
    </row>
    <row r="1048566" spans="16384:16384" x14ac:dyDescent="0.25">
      <c r="XFD1048566" t="e" cm="1">
        <f t="array" ref="XFD1048566">solver_sta</f>
        <v>#NAME?</v>
      </c>
    </row>
    <row r="1048567" spans="16384:16384" x14ac:dyDescent="0.25">
      <c r="XFD1048567" t="e" cm="1">
        <f t="array" ref="XFD1048567">solver_met</f>
        <v>#NAME?</v>
      </c>
    </row>
    <row r="1048568" spans="16384:16384" x14ac:dyDescent="0.25">
      <c r="XFD1048568" t="e" cm="1">
        <f t="array" ref="XFD1048568">solver_soc</f>
        <v>#NAME?</v>
      </c>
    </row>
    <row r="1048569" spans="16384:16384" x14ac:dyDescent="0.25">
      <c r="XFD1048569" t="e" cm="1">
        <f t="array" ref="XFD1048569">solver_lpt</f>
        <v>#NAME?</v>
      </c>
    </row>
    <row r="1048570" spans="16384:16384" x14ac:dyDescent="0.25">
      <c r="XFD1048570" t="e" cm="1">
        <f t="array" ref="XFD1048570">solver_lpp</f>
        <v>#NAME?</v>
      </c>
    </row>
    <row r="1048571" spans="16384:16384" x14ac:dyDescent="0.25">
      <c r="XFD1048571" t="e" cm="1">
        <f t="array" ref="XFD1048571">solver_gap</f>
        <v>#NAME?</v>
      </c>
    </row>
    <row r="1048572" spans="16384:16384" x14ac:dyDescent="0.25">
      <c r="XFD1048572" t="e" cm="1">
        <f t="array" ref="XFD1048572">solver_ips</f>
        <v>#NAME?</v>
      </c>
    </row>
    <row r="1048573" spans="16384:16384" x14ac:dyDescent="0.25">
      <c r="XFD1048573" t="e" cm="1">
        <f t="array" ref="XFD1048573">solver_fea</f>
        <v>#NAME?</v>
      </c>
    </row>
    <row r="1048574" spans="16384:16384" x14ac:dyDescent="0.25">
      <c r="XFD1048574" t="e" cm="1">
        <f t="array" ref="XFD1048574">solver_ipi</f>
        <v>#NAME?</v>
      </c>
    </row>
    <row r="1048575" spans="16384:16384" x14ac:dyDescent="0.25">
      <c r="XFD1048575" t="e" cm="1">
        <f t="array" ref="XFD1048575">solver_ipd</f>
        <v>#NAME?</v>
      </c>
    </row>
  </sheetData>
  <mergeCells count="5">
    <mergeCell ref="A1:F1"/>
    <mergeCell ref="G1:H1"/>
    <mergeCell ref="A2:E2"/>
    <mergeCell ref="A9:F9"/>
    <mergeCell ref="A17:F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C16" sqref="C16"/>
    </sheetView>
  </sheetViews>
  <sheetFormatPr defaultColWidth="8.85546875"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4"/>
  <sheetViews>
    <sheetView workbookViewId="0">
      <selection activeCell="B10" sqref="B10"/>
    </sheetView>
  </sheetViews>
  <sheetFormatPr defaultColWidth="8.85546875" defaultRowHeight="15" x14ac:dyDescent="0.25"/>
  <cols>
    <col min="1" max="1" width="26.85546875" customWidth="1"/>
    <col min="2" max="2" width="25.42578125" customWidth="1"/>
    <col min="3" max="3" width="26" customWidth="1"/>
    <col min="4" max="4" width="25.42578125" customWidth="1"/>
  </cols>
  <sheetData>
    <row r="1" spans="1:4" x14ac:dyDescent="0.25">
      <c r="A1" t="s">
        <v>0</v>
      </c>
      <c r="B1" t="s">
        <v>1</v>
      </c>
      <c r="C1" t="s">
        <v>2</v>
      </c>
      <c r="D1" t="s">
        <v>3</v>
      </c>
    </row>
    <row r="2" spans="1:4" x14ac:dyDescent="0.25">
      <c r="A2" s="1">
        <v>43352</v>
      </c>
      <c r="B2" s="2">
        <v>0.57980324074074074</v>
      </c>
      <c r="C2" t="s">
        <v>6</v>
      </c>
      <c r="D2" t="s">
        <v>7</v>
      </c>
    </row>
    <row r="3" spans="1:4" x14ac:dyDescent="0.25">
      <c r="A3" s="1">
        <v>44486</v>
      </c>
      <c r="B3" s="2">
        <v>0.92160879629629633</v>
      </c>
    </row>
    <row r="4" spans="1:4" x14ac:dyDescent="0.25">
      <c r="A4" s="1">
        <v>44486</v>
      </c>
      <c r="B4" s="2">
        <v>0.92799768518518511</v>
      </c>
      <c r="C4" t="s">
        <v>47</v>
      </c>
      <c r="D4" t="s">
        <v>48</v>
      </c>
    </row>
    <row r="5" spans="1:4" x14ac:dyDescent="0.25">
      <c r="A5" s="1">
        <v>44488</v>
      </c>
      <c r="B5" s="2">
        <v>0.29793981481481485</v>
      </c>
      <c r="C5" t="s">
        <v>6</v>
      </c>
      <c r="D5" t="s">
        <v>49</v>
      </c>
    </row>
    <row r="6" spans="1:4" x14ac:dyDescent="0.25">
      <c r="A6" s="1">
        <v>44743</v>
      </c>
      <c r="B6" s="2">
        <v>0.83210648148148147</v>
      </c>
      <c r="C6" t="s">
        <v>6</v>
      </c>
      <c r="D6" t="s">
        <v>49</v>
      </c>
    </row>
    <row r="7" spans="1:4" x14ac:dyDescent="0.25">
      <c r="A7" s="1">
        <v>45109</v>
      </c>
      <c r="B7" s="2">
        <v>0.6882638888888889</v>
      </c>
      <c r="C7" t="s">
        <v>6</v>
      </c>
      <c r="D7" t="s">
        <v>49</v>
      </c>
    </row>
    <row r="8" spans="1:4" x14ac:dyDescent="0.25">
      <c r="A8" s="1">
        <v>45109</v>
      </c>
      <c r="B8" s="2">
        <v>0.69458333333333344</v>
      </c>
      <c r="C8" t="s">
        <v>6</v>
      </c>
      <c r="D8" t="s">
        <v>49</v>
      </c>
    </row>
    <row r="9" spans="1:4" x14ac:dyDescent="0.25">
      <c r="A9" s="1">
        <v>45120</v>
      </c>
      <c r="B9" s="2">
        <v>0.83505787037037038</v>
      </c>
      <c r="C9" t="s">
        <v>6</v>
      </c>
      <c r="D9" t="s">
        <v>49</v>
      </c>
    </row>
    <row r="10" spans="1:4" x14ac:dyDescent="0.25">
      <c r="A10" s="1">
        <v>45241</v>
      </c>
      <c r="B10" s="2">
        <v>0.70506944444444442</v>
      </c>
      <c r="C10" t="s">
        <v>6</v>
      </c>
      <c r="D10" t="s">
        <v>49</v>
      </c>
    </row>
    <row r="11" spans="1:4" x14ac:dyDescent="0.25">
      <c r="A11" s="1">
        <v>45389</v>
      </c>
      <c r="B11" s="2">
        <v>0.72104166666666669</v>
      </c>
      <c r="C11" t="s">
        <v>6</v>
      </c>
      <c r="D11" t="s">
        <v>49</v>
      </c>
    </row>
    <row r="12" spans="1:4" x14ac:dyDescent="0.25">
      <c r="A12" s="1">
        <v>45606</v>
      </c>
      <c r="B12" s="2">
        <v>0.71685185185185185</v>
      </c>
      <c r="C12" t="s">
        <v>6</v>
      </c>
      <c r="D12" t="s">
        <v>49</v>
      </c>
    </row>
    <row r="13" spans="1:4" x14ac:dyDescent="0.25">
      <c r="A13" s="1">
        <v>45606</v>
      </c>
      <c r="B13" s="2">
        <v>0.73858796296296292</v>
      </c>
      <c r="C13" t="s">
        <v>6</v>
      </c>
      <c r="D13" t="s">
        <v>49</v>
      </c>
    </row>
    <row r="14" spans="1:4" x14ac:dyDescent="0.25">
      <c r="A14" s="1">
        <v>45753</v>
      </c>
      <c r="B14" s="2">
        <v>0.81936342592592593</v>
      </c>
      <c r="C14" t="s">
        <v>6</v>
      </c>
      <c r="D14" t="s">
        <v>49</v>
      </c>
    </row>
    <row r="15" spans="1:4" x14ac:dyDescent="0.25">
      <c r="A15" s="1">
        <v>45753</v>
      </c>
      <c r="B15" s="2">
        <v>0.83313657407407404</v>
      </c>
      <c r="C15" t="s">
        <v>6</v>
      </c>
      <c r="D15" t="s">
        <v>49</v>
      </c>
    </row>
    <row r="16" spans="1:4" x14ac:dyDescent="0.25">
      <c r="A16" s="1">
        <v>45844</v>
      </c>
      <c r="B16" s="2">
        <v>0.81807870370370372</v>
      </c>
      <c r="C16" t="s">
        <v>6</v>
      </c>
      <c r="D16" t="s">
        <v>49</v>
      </c>
    </row>
    <row r="17" spans="1:4" x14ac:dyDescent="0.25">
      <c r="A17" s="1">
        <v>45850</v>
      </c>
      <c r="B17" s="2">
        <v>0.96785879629629634</v>
      </c>
      <c r="C17" t="s">
        <v>56</v>
      </c>
      <c r="D17" t="s">
        <v>57</v>
      </c>
    </row>
    <row r="18" spans="1:4" x14ac:dyDescent="0.25">
      <c r="A18" s="1"/>
      <c r="B18" s="2"/>
    </row>
    <row r="19" spans="1:4" x14ac:dyDescent="0.25">
      <c r="A19" s="1"/>
      <c r="B19" s="2"/>
    </row>
    <row r="20" spans="1:4" x14ac:dyDescent="0.25">
      <c r="A20" s="1"/>
      <c r="B20" s="2"/>
    </row>
    <row r="21" spans="1:4" x14ac:dyDescent="0.25">
      <c r="A21" s="1"/>
      <c r="B21" s="2"/>
    </row>
    <row r="22" spans="1:4" x14ac:dyDescent="0.25">
      <c r="A22" s="1"/>
      <c r="B22" s="2"/>
    </row>
    <row r="23" spans="1:4" x14ac:dyDescent="0.25">
      <c r="A23" s="1"/>
      <c r="B23" s="2"/>
    </row>
    <row r="24" spans="1:4" x14ac:dyDescent="0.25">
      <c r="A24" s="1"/>
      <c r="B24"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2025-07-13T06:32:10Z</dcterms:modified>
</cp:coreProperties>
</file>
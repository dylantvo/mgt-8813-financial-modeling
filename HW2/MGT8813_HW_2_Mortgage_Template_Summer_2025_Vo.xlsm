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https://gtvault-my.sharepoint.com/personal/dvo41_gatech_edu/Documents/Summer 2025/MGMT 8813/HW2/"/>
    </mc:Choice>
  </mc:AlternateContent>
  <xr:revisionPtr revIDLastSave="443" documentId="8_{2BFEC40B-9DD3-4EC6-A0DB-52C197AF45B5}" xr6:coauthVersionLast="47" xr6:coauthVersionMax="47" xr10:uidLastSave="{6E2D898A-7788-46E0-85AF-ED7AFCF09461}"/>
  <bookViews>
    <workbookView xWindow="-110" yWindow="-110" windowWidth="19420" windowHeight="11500" firstSheet="2" activeTab="2" xr2:uid="{00000000-000D-0000-FFFF-FFFF00000000}"/>
  </bookViews>
  <sheets>
    <sheet name="Information" sheetId="2" state="veryHidden" r:id="rId1"/>
    <sheet name="Current_Situation" sheetId="5" state="veryHidden" r:id="rId2"/>
    <sheet name="Announcement" sheetId="1" r:id="rId3"/>
    <sheet name="LogRecord" sheetId="3" state="veryHidden"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1" i="5" l="1"/>
  <c r="J31" i="5" s="1"/>
  <c r="C33" i="5"/>
  <c r="I33" i="5" s="1"/>
  <c r="C34" i="5"/>
  <c r="I34" i="5" s="1"/>
  <c r="C47" i="5"/>
  <c r="I47" i="5" s="1"/>
  <c r="C49" i="5"/>
  <c r="I49" i="5" s="1"/>
  <c r="C50" i="5"/>
  <c r="I50" i="5" s="1"/>
  <c r="C63" i="5"/>
  <c r="I63" i="5" s="1"/>
  <c r="C65" i="5"/>
  <c r="C66" i="5"/>
  <c r="I66" i="5" s="1"/>
  <c r="C79" i="5"/>
  <c r="I79" i="5" s="1"/>
  <c r="C81" i="5"/>
  <c r="I81" i="5" s="1"/>
  <c r="C82" i="5"/>
  <c r="I82" i="5" s="1"/>
  <c r="C95" i="5"/>
  <c r="C97" i="5"/>
  <c r="I97" i="5" s="1"/>
  <c r="C98" i="5"/>
  <c r="J98" i="5" s="1"/>
  <c r="C111" i="5"/>
  <c r="C113" i="5"/>
  <c r="I113" i="5" s="1"/>
  <c r="C114" i="5"/>
  <c r="I114" i="5" s="1"/>
  <c r="C125" i="5"/>
  <c r="C127" i="5"/>
  <c r="C129" i="5"/>
  <c r="I129" i="5" s="1"/>
  <c r="C130" i="5"/>
  <c r="I130" i="5" s="1"/>
  <c r="C132" i="5"/>
  <c r="C141" i="5"/>
  <c r="C143" i="5"/>
  <c r="C145" i="5"/>
  <c r="J145" i="5" s="1"/>
  <c r="C146" i="5"/>
  <c r="I146" i="5" s="1"/>
  <c r="C148" i="5"/>
  <c r="C157" i="5"/>
  <c r="C159" i="5"/>
  <c r="C161" i="5"/>
  <c r="C162" i="5"/>
  <c r="I162" i="5" s="1"/>
  <c r="C164" i="5"/>
  <c r="C173" i="5"/>
  <c r="C175" i="5"/>
  <c r="C177" i="5"/>
  <c r="I177" i="5" s="1"/>
  <c r="C178" i="5"/>
  <c r="I178" i="5" s="1"/>
  <c r="C180" i="5"/>
  <c r="C189" i="5"/>
  <c r="C191" i="5"/>
  <c r="C193" i="5"/>
  <c r="I193" i="5" s="1"/>
  <c r="C194" i="5"/>
  <c r="I194" i="5" s="1"/>
  <c r="C196" i="5"/>
  <c r="C205" i="5"/>
  <c r="C206" i="5"/>
  <c r="C207" i="5"/>
  <c r="C209" i="5"/>
  <c r="C210" i="5"/>
  <c r="I210" i="5" s="1"/>
  <c r="C212" i="5"/>
  <c r="C221" i="5"/>
  <c r="C222" i="5"/>
  <c r="C223" i="5"/>
  <c r="C225" i="5"/>
  <c r="C226" i="5"/>
  <c r="I226" i="5" s="1"/>
  <c r="C228" i="5"/>
  <c r="C237" i="5"/>
  <c r="C238" i="5"/>
  <c r="C239" i="5"/>
  <c r="C241" i="5"/>
  <c r="I241" i="5" s="1"/>
  <c r="C242" i="5"/>
  <c r="I242" i="5" s="1"/>
  <c r="C244" i="5"/>
  <c r="C253" i="5"/>
  <c r="C254" i="5"/>
  <c r="C255" i="5"/>
  <c r="C257" i="5"/>
  <c r="I257" i="5" s="1"/>
  <c r="C258" i="5"/>
  <c r="I258" i="5" s="1"/>
  <c r="C260" i="5"/>
  <c r="C269" i="5"/>
  <c r="C270" i="5"/>
  <c r="C271" i="5"/>
  <c r="C273" i="5"/>
  <c r="I273" i="5" s="1"/>
  <c r="C274" i="5"/>
  <c r="I274" i="5" s="1"/>
  <c r="C276" i="5"/>
  <c r="C285" i="5"/>
  <c r="C286" i="5"/>
  <c r="C287" i="5"/>
  <c r="C289" i="5"/>
  <c r="I289" i="5" s="1"/>
  <c r="C290" i="5"/>
  <c r="I290" i="5" s="1"/>
  <c r="C292" i="5"/>
  <c r="C301" i="5"/>
  <c r="C302" i="5"/>
  <c r="C303" i="5"/>
  <c r="C305" i="5"/>
  <c r="J305" i="5" s="1"/>
  <c r="C306" i="5"/>
  <c r="I306" i="5" s="1"/>
  <c r="C308" i="5"/>
  <c r="C317" i="5"/>
  <c r="C318" i="5"/>
  <c r="C319" i="5"/>
  <c r="C321" i="5"/>
  <c r="I321" i="5" s="1"/>
  <c r="C322" i="5"/>
  <c r="I322" i="5" s="1"/>
  <c r="C324" i="5"/>
  <c r="C333" i="5"/>
  <c r="C334" i="5"/>
  <c r="C335" i="5"/>
  <c r="C337" i="5"/>
  <c r="I337" i="5" s="1"/>
  <c r="C338" i="5"/>
  <c r="I338" i="5" s="1"/>
  <c r="C340" i="5"/>
  <c r="C349" i="5"/>
  <c r="C350" i="5"/>
  <c r="C351" i="5"/>
  <c r="C353" i="5"/>
  <c r="I353" i="5" s="1"/>
  <c r="C354" i="5"/>
  <c r="I354" i="5" s="1"/>
  <c r="C356" i="5"/>
  <c r="C365" i="5"/>
  <c r="C366" i="5"/>
  <c r="C367" i="5"/>
  <c r="C369" i="5"/>
  <c r="I369" i="5" s="1"/>
  <c r="C370" i="5"/>
  <c r="I370" i="5" s="1"/>
  <c r="C372" i="5"/>
  <c r="B20" i="5"/>
  <c r="C20" i="5" s="1"/>
  <c r="B21" i="5"/>
  <c r="C21" i="5" s="1"/>
  <c r="B22" i="5"/>
  <c r="C22" i="5" s="1"/>
  <c r="B23" i="5"/>
  <c r="C23" i="5" s="1"/>
  <c r="B24" i="5"/>
  <c r="C24" i="5" s="1"/>
  <c r="B25" i="5"/>
  <c r="C25" i="5" s="1"/>
  <c r="B26" i="5"/>
  <c r="C26" i="5" s="1"/>
  <c r="B27" i="5"/>
  <c r="C27" i="5" s="1"/>
  <c r="B28" i="5"/>
  <c r="C28" i="5" s="1"/>
  <c r="B29" i="5"/>
  <c r="C29" i="5" s="1"/>
  <c r="B30" i="5"/>
  <c r="C30" i="5" s="1"/>
  <c r="B31" i="5"/>
  <c r="B32" i="5"/>
  <c r="C32" i="5" s="1"/>
  <c r="B33" i="5"/>
  <c r="B34" i="5"/>
  <c r="B35" i="5"/>
  <c r="C35" i="5" s="1"/>
  <c r="B36" i="5"/>
  <c r="C36" i="5" s="1"/>
  <c r="B37" i="5"/>
  <c r="C37" i="5" s="1"/>
  <c r="B38" i="5"/>
  <c r="C38" i="5" s="1"/>
  <c r="B39" i="5"/>
  <c r="C39" i="5" s="1"/>
  <c r="B40" i="5"/>
  <c r="C40" i="5" s="1"/>
  <c r="B41" i="5"/>
  <c r="C41" i="5" s="1"/>
  <c r="B42" i="5"/>
  <c r="C42" i="5" s="1"/>
  <c r="B43" i="5"/>
  <c r="C43" i="5" s="1"/>
  <c r="B44" i="5"/>
  <c r="C44" i="5" s="1"/>
  <c r="B45" i="5"/>
  <c r="C45" i="5" s="1"/>
  <c r="B46" i="5"/>
  <c r="C46" i="5" s="1"/>
  <c r="B47" i="5"/>
  <c r="B48" i="5"/>
  <c r="C48" i="5" s="1"/>
  <c r="B49" i="5"/>
  <c r="B50" i="5"/>
  <c r="B51" i="5"/>
  <c r="C51" i="5" s="1"/>
  <c r="I51" i="5" s="1"/>
  <c r="B52" i="5"/>
  <c r="C52" i="5" s="1"/>
  <c r="B53" i="5"/>
  <c r="C53" i="5" s="1"/>
  <c r="B54" i="5"/>
  <c r="C54" i="5" s="1"/>
  <c r="B55" i="5"/>
  <c r="C55" i="5" s="1"/>
  <c r="B56" i="5"/>
  <c r="C56" i="5" s="1"/>
  <c r="B57" i="5"/>
  <c r="C57" i="5" s="1"/>
  <c r="B58" i="5"/>
  <c r="C58" i="5" s="1"/>
  <c r="B59" i="5"/>
  <c r="C59" i="5" s="1"/>
  <c r="B60" i="5"/>
  <c r="C60" i="5" s="1"/>
  <c r="B61" i="5"/>
  <c r="C61" i="5" s="1"/>
  <c r="B62" i="5"/>
  <c r="C62" i="5" s="1"/>
  <c r="B63" i="5"/>
  <c r="B64" i="5"/>
  <c r="C64" i="5" s="1"/>
  <c r="B65" i="5"/>
  <c r="B66" i="5"/>
  <c r="B67" i="5"/>
  <c r="C67" i="5" s="1"/>
  <c r="I67" i="5" s="1"/>
  <c r="B68" i="5"/>
  <c r="C68" i="5" s="1"/>
  <c r="B69" i="5"/>
  <c r="C69" i="5" s="1"/>
  <c r="B70" i="5"/>
  <c r="C70" i="5" s="1"/>
  <c r="B71" i="5"/>
  <c r="C71" i="5" s="1"/>
  <c r="B72" i="5"/>
  <c r="C72" i="5" s="1"/>
  <c r="B73" i="5"/>
  <c r="C73" i="5" s="1"/>
  <c r="B74" i="5"/>
  <c r="C74" i="5" s="1"/>
  <c r="B75" i="5"/>
  <c r="C75" i="5" s="1"/>
  <c r="B76" i="5"/>
  <c r="C76" i="5" s="1"/>
  <c r="B77" i="5"/>
  <c r="C77" i="5" s="1"/>
  <c r="B78" i="5"/>
  <c r="C78" i="5" s="1"/>
  <c r="B79" i="5"/>
  <c r="B80" i="5"/>
  <c r="C80" i="5" s="1"/>
  <c r="B81" i="5"/>
  <c r="B82" i="5"/>
  <c r="B83" i="5"/>
  <c r="C83" i="5" s="1"/>
  <c r="I83" i="5" s="1"/>
  <c r="B84" i="5"/>
  <c r="C84" i="5" s="1"/>
  <c r="B85" i="5"/>
  <c r="C85" i="5" s="1"/>
  <c r="B86" i="5"/>
  <c r="C86" i="5" s="1"/>
  <c r="B87" i="5"/>
  <c r="C87" i="5" s="1"/>
  <c r="B88" i="5"/>
  <c r="C88" i="5" s="1"/>
  <c r="B89" i="5"/>
  <c r="C89" i="5" s="1"/>
  <c r="B90" i="5"/>
  <c r="C90" i="5" s="1"/>
  <c r="B91" i="5"/>
  <c r="C91" i="5" s="1"/>
  <c r="B92" i="5"/>
  <c r="C92" i="5" s="1"/>
  <c r="B93" i="5"/>
  <c r="C93" i="5" s="1"/>
  <c r="B94" i="5"/>
  <c r="C94" i="5" s="1"/>
  <c r="B95" i="5"/>
  <c r="B96" i="5"/>
  <c r="C96" i="5" s="1"/>
  <c r="B97" i="5"/>
  <c r="B98" i="5"/>
  <c r="B99" i="5"/>
  <c r="C99" i="5" s="1"/>
  <c r="I99" i="5" s="1"/>
  <c r="B100" i="5"/>
  <c r="C100" i="5" s="1"/>
  <c r="B101" i="5"/>
  <c r="C101" i="5" s="1"/>
  <c r="B102" i="5"/>
  <c r="C102" i="5" s="1"/>
  <c r="B103" i="5"/>
  <c r="C103" i="5" s="1"/>
  <c r="B104" i="5"/>
  <c r="C104" i="5" s="1"/>
  <c r="B105" i="5"/>
  <c r="C105" i="5" s="1"/>
  <c r="B106" i="5"/>
  <c r="C106" i="5" s="1"/>
  <c r="B107" i="5"/>
  <c r="C107" i="5" s="1"/>
  <c r="B108" i="5"/>
  <c r="C108" i="5" s="1"/>
  <c r="B109" i="5"/>
  <c r="C109" i="5" s="1"/>
  <c r="B110" i="5"/>
  <c r="C110" i="5" s="1"/>
  <c r="B111" i="5"/>
  <c r="B112" i="5"/>
  <c r="C112" i="5" s="1"/>
  <c r="B113" i="5"/>
  <c r="B114" i="5"/>
  <c r="B115" i="5"/>
  <c r="C115" i="5" s="1"/>
  <c r="I115" i="5" s="1"/>
  <c r="B116" i="5"/>
  <c r="C116" i="5" s="1"/>
  <c r="B117" i="5"/>
  <c r="C117" i="5" s="1"/>
  <c r="B118" i="5"/>
  <c r="C118" i="5" s="1"/>
  <c r="B119" i="5"/>
  <c r="C119" i="5" s="1"/>
  <c r="B120" i="5"/>
  <c r="C120" i="5" s="1"/>
  <c r="B121" i="5"/>
  <c r="C121" i="5" s="1"/>
  <c r="B122" i="5"/>
  <c r="C122" i="5" s="1"/>
  <c r="B123" i="5"/>
  <c r="C123" i="5" s="1"/>
  <c r="B124" i="5"/>
  <c r="C124" i="5" s="1"/>
  <c r="B125" i="5"/>
  <c r="B126" i="5"/>
  <c r="C126" i="5" s="1"/>
  <c r="B127" i="5"/>
  <c r="B128" i="5"/>
  <c r="C128" i="5" s="1"/>
  <c r="B129" i="5"/>
  <c r="B130" i="5"/>
  <c r="B131" i="5"/>
  <c r="C131" i="5" s="1"/>
  <c r="I131" i="5" s="1"/>
  <c r="B132" i="5"/>
  <c r="B133" i="5"/>
  <c r="C133" i="5" s="1"/>
  <c r="B134" i="5"/>
  <c r="C134" i="5" s="1"/>
  <c r="B135" i="5"/>
  <c r="C135" i="5" s="1"/>
  <c r="B136" i="5"/>
  <c r="C136" i="5" s="1"/>
  <c r="B137" i="5"/>
  <c r="C137" i="5" s="1"/>
  <c r="B138" i="5"/>
  <c r="C138" i="5" s="1"/>
  <c r="B139" i="5"/>
  <c r="C139" i="5" s="1"/>
  <c r="B140" i="5"/>
  <c r="C140" i="5" s="1"/>
  <c r="B141" i="5"/>
  <c r="B142" i="5"/>
  <c r="C142" i="5" s="1"/>
  <c r="B143" i="5"/>
  <c r="B144" i="5"/>
  <c r="C144" i="5" s="1"/>
  <c r="B145" i="5"/>
  <c r="B146" i="5"/>
  <c r="B147" i="5"/>
  <c r="C147" i="5" s="1"/>
  <c r="I147" i="5" s="1"/>
  <c r="B148" i="5"/>
  <c r="B149" i="5"/>
  <c r="C149" i="5" s="1"/>
  <c r="B150" i="5"/>
  <c r="C150" i="5" s="1"/>
  <c r="B151" i="5"/>
  <c r="C151" i="5" s="1"/>
  <c r="B152" i="5"/>
  <c r="C152" i="5" s="1"/>
  <c r="B153" i="5"/>
  <c r="C153" i="5" s="1"/>
  <c r="B154" i="5"/>
  <c r="C154" i="5" s="1"/>
  <c r="B155" i="5"/>
  <c r="C155" i="5" s="1"/>
  <c r="B156" i="5"/>
  <c r="C156" i="5" s="1"/>
  <c r="B157" i="5"/>
  <c r="B158" i="5"/>
  <c r="C158" i="5" s="1"/>
  <c r="B159" i="5"/>
  <c r="B160" i="5"/>
  <c r="C160" i="5" s="1"/>
  <c r="B161" i="5"/>
  <c r="B162" i="5"/>
  <c r="B163" i="5"/>
  <c r="C163" i="5" s="1"/>
  <c r="I163" i="5" s="1"/>
  <c r="B164" i="5"/>
  <c r="B165" i="5"/>
  <c r="C165" i="5" s="1"/>
  <c r="B166" i="5"/>
  <c r="C166" i="5" s="1"/>
  <c r="B167" i="5"/>
  <c r="C167" i="5" s="1"/>
  <c r="B168" i="5"/>
  <c r="C168" i="5" s="1"/>
  <c r="B169" i="5"/>
  <c r="C169" i="5" s="1"/>
  <c r="B170" i="5"/>
  <c r="C170" i="5" s="1"/>
  <c r="B171" i="5"/>
  <c r="C171" i="5" s="1"/>
  <c r="B172" i="5"/>
  <c r="C172" i="5" s="1"/>
  <c r="B173" i="5"/>
  <c r="B174" i="5"/>
  <c r="C174" i="5" s="1"/>
  <c r="B175" i="5"/>
  <c r="B176" i="5"/>
  <c r="C176" i="5" s="1"/>
  <c r="B177" i="5"/>
  <c r="B178" i="5"/>
  <c r="B179" i="5"/>
  <c r="C179" i="5" s="1"/>
  <c r="I179" i="5" s="1"/>
  <c r="B180" i="5"/>
  <c r="B181" i="5"/>
  <c r="C181" i="5" s="1"/>
  <c r="B182" i="5"/>
  <c r="C182" i="5" s="1"/>
  <c r="B183" i="5"/>
  <c r="C183" i="5" s="1"/>
  <c r="B184" i="5"/>
  <c r="C184" i="5" s="1"/>
  <c r="B185" i="5"/>
  <c r="C185" i="5" s="1"/>
  <c r="B186" i="5"/>
  <c r="C186" i="5" s="1"/>
  <c r="B187" i="5"/>
  <c r="C187" i="5" s="1"/>
  <c r="B188" i="5"/>
  <c r="C188" i="5" s="1"/>
  <c r="B189" i="5"/>
  <c r="B190" i="5"/>
  <c r="C190" i="5" s="1"/>
  <c r="B191" i="5"/>
  <c r="B192" i="5"/>
  <c r="C192" i="5" s="1"/>
  <c r="B193" i="5"/>
  <c r="B194" i="5"/>
  <c r="B195" i="5"/>
  <c r="C195" i="5" s="1"/>
  <c r="I195" i="5" s="1"/>
  <c r="B196" i="5"/>
  <c r="B197" i="5"/>
  <c r="C197" i="5" s="1"/>
  <c r="B198" i="5"/>
  <c r="C198" i="5" s="1"/>
  <c r="B199" i="5"/>
  <c r="C199" i="5" s="1"/>
  <c r="B200" i="5"/>
  <c r="C200" i="5" s="1"/>
  <c r="B201" i="5"/>
  <c r="C201" i="5" s="1"/>
  <c r="B202" i="5"/>
  <c r="C202" i="5" s="1"/>
  <c r="B203" i="5"/>
  <c r="C203" i="5" s="1"/>
  <c r="B204" i="5"/>
  <c r="C204" i="5" s="1"/>
  <c r="B205" i="5"/>
  <c r="B206" i="5"/>
  <c r="B207" i="5"/>
  <c r="B208" i="5"/>
  <c r="C208" i="5" s="1"/>
  <c r="B209" i="5"/>
  <c r="B210" i="5"/>
  <c r="B211" i="5"/>
  <c r="C211" i="5" s="1"/>
  <c r="I211" i="5" s="1"/>
  <c r="B212" i="5"/>
  <c r="B213" i="5"/>
  <c r="C213" i="5" s="1"/>
  <c r="B214" i="5"/>
  <c r="C214" i="5" s="1"/>
  <c r="B215" i="5"/>
  <c r="C215" i="5" s="1"/>
  <c r="B216" i="5"/>
  <c r="C216" i="5" s="1"/>
  <c r="B217" i="5"/>
  <c r="C217" i="5" s="1"/>
  <c r="B218" i="5"/>
  <c r="C218" i="5" s="1"/>
  <c r="B219" i="5"/>
  <c r="C219" i="5" s="1"/>
  <c r="B220" i="5"/>
  <c r="C220" i="5" s="1"/>
  <c r="B221" i="5"/>
  <c r="B222" i="5"/>
  <c r="B223" i="5"/>
  <c r="B224" i="5"/>
  <c r="C224" i="5" s="1"/>
  <c r="B225" i="5"/>
  <c r="B226" i="5"/>
  <c r="B227" i="5"/>
  <c r="C227" i="5" s="1"/>
  <c r="I227" i="5" s="1"/>
  <c r="B228" i="5"/>
  <c r="B229" i="5"/>
  <c r="C229" i="5" s="1"/>
  <c r="B230" i="5"/>
  <c r="C230" i="5" s="1"/>
  <c r="B231" i="5"/>
  <c r="C231" i="5" s="1"/>
  <c r="B232" i="5"/>
  <c r="C232" i="5" s="1"/>
  <c r="B233" i="5"/>
  <c r="C233" i="5" s="1"/>
  <c r="B234" i="5"/>
  <c r="C234" i="5" s="1"/>
  <c r="B235" i="5"/>
  <c r="C235" i="5" s="1"/>
  <c r="B236" i="5"/>
  <c r="C236" i="5" s="1"/>
  <c r="B237" i="5"/>
  <c r="B238" i="5"/>
  <c r="B239" i="5"/>
  <c r="B240" i="5"/>
  <c r="C240" i="5" s="1"/>
  <c r="B241" i="5"/>
  <c r="B242" i="5"/>
  <c r="B243" i="5"/>
  <c r="C243" i="5" s="1"/>
  <c r="B244" i="5"/>
  <c r="B245" i="5"/>
  <c r="C245" i="5" s="1"/>
  <c r="B246" i="5"/>
  <c r="C246" i="5" s="1"/>
  <c r="B247" i="5"/>
  <c r="C247" i="5" s="1"/>
  <c r="B248" i="5"/>
  <c r="C248" i="5" s="1"/>
  <c r="B249" i="5"/>
  <c r="C249" i="5" s="1"/>
  <c r="B250" i="5"/>
  <c r="C250" i="5" s="1"/>
  <c r="B251" i="5"/>
  <c r="C251" i="5" s="1"/>
  <c r="B252" i="5"/>
  <c r="C252" i="5" s="1"/>
  <c r="B253" i="5"/>
  <c r="B254" i="5"/>
  <c r="B255" i="5"/>
  <c r="B256" i="5"/>
  <c r="C256" i="5" s="1"/>
  <c r="B257" i="5"/>
  <c r="B258" i="5"/>
  <c r="B259" i="5"/>
  <c r="C259" i="5" s="1"/>
  <c r="B260" i="5"/>
  <c r="B261" i="5"/>
  <c r="C261" i="5" s="1"/>
  <c r="B262" i="5"/>
  <c r="C262" i="5" s="1"/>
  <c r="B263" i="5"/>
  <c r="C263" i="5" s="1"/>
  <c r="B264" i="5"/>
  <c r="C264" i="5" s="1"/>
  <c r="B265" i="5"/>
  <c r="C265" i="5" s="1"/>
  <c r="B266" i="5"/>
  <c r="C266" i="5" s="1"/>
  <c r="B267" i="5"/>
  <c r="C267" i="5" s="1"/>
  <c r="B268" i="5"/>
  <c r="C268" i="5" s="1"/>
  <c r="B269" i="5"/>
  <c r="B270" i="5"/>
  <c r="B271" i="5"/>
  <c r="B272" i="5"/>
  <c r="C272" i="5" s="1"/>
  <c r="B273" i="5"/>
  <c r="B274" i="5"/>
  <c r="B275" i="5"/>
  <c r="C275" i="5" s="1"/>
  <c r="I275" i="5" s="1"/>
  <c r="B276" i="5"/>
  <c r="B277" i="5"/>
  <c r="C277" i="5" s="1"/>
  <c r="B278" i="5"/>
  <c r="C278" i="5" s="1"/>
  <c r="B279" i="5"/>
  <c r="C279" i="5" s="1"/>
  <c r="B280" i="5"/>
  <c r="C280" i="5" s="1"/>
  <c r="B281" i="5"/>
  <c r="C281" i="5" s="1"/>
  <c r="B282" i="5"/>
  <c r="C282" i="5" s="1"/>
  <c r="B283" i="5"/>
  <c r="C283" i="5" s="1"/>
  <c r="B284" i="5"/>
  <c r="C284" i="5" s="1"/>
  <c r="B285" i="5"/>
  <c r="B286" i="5"/>
  <c r="B287" i="5"/>
  <c r="B288" i="5"/>
  <c r="C288" i="5" s="1"/>
  <c r="B289" i="5"/>
  <c r="B290" i="5"/>
  <c r="B291" i="5"/>
  <c r="C291" i="5" s="1"/>
  <c r="I291" i="5" s="1"/>
  <c r="B292" i="5"/>
  <c r="B293" i="5"/>
  <c r="C293" i="5" s="1"/>
  <c r="B294" i="5"/>
  <c r="C294" i="5" s="1"/>
  <c r="B295" i="5"/>
  <c r="C295" i="5" s="1"/>
  <c r="B296" i="5"/>
  <c r="C296" i="5" s="1"/>
  <c r="B297" i="5"/>
  <c r="C297" i="5" s="1"/>
  <c r="B298" i="5"/>
  <c r="C298" i="5" s="1"/>
  <c r="B299" i="5"/>
  <c r="C299" i="5" s="1"/>
  <c r="B300" i="5"/>
  <c r="C300" i="5" s="1"/>
  <c r="B301" i="5"/>
  <c r="B302" i="5"/>
  <c r="B303" i="5"/>
  <c r="B304" i="5"/>
  <c r="C304" i="5" s="1"/>
  <c r="B305" i="5"/>
  <c r="B306" i="5"/>
  <c r="B307" i="5"/>
  <c r="C307" i="5" s="1"/>
  <c r="I307" i="5" s="1"/>
  <c r="B308" i="5"/>
  <c r="B309" i="5"/>
  <c r="C309" i="5" s="1"/>
  <c r="B310" i="5"/>
  <c r="C310" i="5" s="1"/>
  <c r="B311" i="5"/>
  <c r="C311" i="5" s="1"/>
  <c r="B312" i="5"/>
  <c r="C312" i="5" s="1"/>
  <c r="B313" i="5"/>
  <c r="C313" i="5" s="1"/>
  <c r="B314" i="5"/>
  <c r="C314" i="5" s="1"/>
  <c r="B315" i="5"/>
  <c r="C315" i="5" s="1"/>
  <c r="B316" i="5"/>
  <c r="C316" i="5" s="1"/>
  <c r="B317" i="5"/>
  <c r="B318" i="5"/>
  <c r="B319" i="5"/>
  <c r="B320" i="5"/>
  <c r="C320" i="5" s="1"/>
  <c r="B321" i="5"/>
  <c r="B322" i="5"/>
  <c r="B323" i="5"/>
  <c r="C323" i="5" s="1"/>
  <c r="I323" i="5" s="1"/>
  <c r="B324" i="5"/>
  <c r="B325" i="5"/>
  <c r="C325" i="5" s="1"/>
  <c r="B326" i="5"/>
  <c r="C326" i="5" s="1"/>
  <c r="B327" i="5"/>
  <c r="C327" i="5" s="1"/>
  <c r="B328" i="5"/>
  <c r="C328" i="5" s="1"/>
  <c r="B329" i="5"/>
  <c r="C329" i="5" s="1"/>
  <c r="B330" i="5"/>
  <c r="C330" i="5" s="1"/>
  <c r="B331" i="5"/>
  <c r="C331" i="5" s="1"/>
  <c r="B332" i="5"/>
  <c r="C332" i="5" s="1"/>
  <c r="B333" i="5"/>
  <c r="B334" i="5"/>
  <c r="B335" i="5"/>
  <c r="B336" i="5"/>
  <c r="C336" i="5" s="1"/>
  <c r="B337" i="5"/>
  <c r="B338" i="5"/>
  <c r="B339" i="5"/>
  <c r="C339" i="5" s="1"/>
  <c r="I339" i="5" s="1"/>
  <c r="B340" i="5"/>
  <c r="B341" i="5"/>
  <c r="C341" i="5" s="1"/>
  <c r="B342" i="5"/>
  <c r="C342" i="5" s="1"/>
  <c r="B343" i="5"/>
  <c r="C343" i="5" s="1"/>
  <c r="B344" i="5"/>
  <c r="C344" i="5" s="1"/>
  <c r="B345" i="5"/>
  <c r="C345" i="5" s="1"/>
  <c r="B346" i="5"/>
  <c r="C346" i="5" s="1"/>
  <c r="B347" i="5"/>
  <c r="C347" i="5" s="1"/>
  <c r="B348" i="5"/>
  <c r="C348" i="5" s="1"/>
  <c r="B349" i="5"/>
  <c r="B350" i="5"/>
  <c r="B351" i="5"/>
  <c r="B352" i="5"/>
  <c r="C352" i="5" s="1"/>
  <c r="B353" i="5"/>
  <c r="B354" i="5"/>
  <c r="B355" i="5"/>
  <c r="C355" i="5" s="1"/>
  <c r="I355" i="5" s="1"/>
  <c r="B356" i="5"/>
  <c r="B357" i="5"/>
  <c r="C357" i="5" s="1"/>
  <c r="B358" i="5"/>
  <c r="C358" i="5" s="1"/>
  <c r="B359" i="5"/>
  <c r="C359" i="5" s="1"/>
  <c r="B360" i="5"/>
  <c r="C360" i="5" s="1"/>
  <c r="B361" i="5"/>
  <c r="C361" i="5" s="1"/>
  <c r="B362" i="5"/>
  <c r="C362" i="5" s="1"/>
  <c r="B363" i="5"/>
  <c r="C363" i="5" s="1"/>
  <c r="B364" i="5"/>
  <c r="C364" i="5" s="1"/>
  <c r="B365" i="5"/>
  <c r="B366" i="5"/>
  <c r="B367" i="5"/>
  <c r="B368" i="5"/>
  <c r="C368" i="5" s="1"/>
  <c r="B369" i="5"/>
  <c r="B370" i="5"/>
  <c r="B371" i="5"/>
  <c r="C371" i="5" s="1"/>
  <c r="I371" i="5" s="1"/>
  <c r="B372" i="5"/>
  <c r="B373" i="5"/>
  <c r="C373" i="5" s="1"/>
  <c r="B374" i="5"/>
  <c r="C374" i="5" s="1"/>
  <c r="B375" i="5"/>
  <c r="C375" i="5" s="1"/>
  <c r="B376" i="5"/>
  <c r="C376" i="5" s="1"/>
  <c r="B377" i="5"/>
  <c r="C377" i="5" s="1"/>
  <c r="B378" i="5"/>
  <c r="C378" i="5" s="1"/>
  <c r="B19" i="5"/>
  <c r="C19" i="5" s="1"/>
  <c r="I19" i="5" s="1"/>
  <c r="D15" i="5"/>
  <c r="D9" i="5"/>
  <c r="D4" i="5"/>
  <c r="H18" i="5"/>
  <c r="E19" i="5" s="1"/>
  <c r="I31" i="5"/>
  <c r="J33" i="5"/>
  <c r="J47" i="5"/>
  <c r="J49" i="5"/>
  <c r="J50" i="5"/>
  <c r="I65" i="5"/>
  <c r="J65" i="5"/>
  <c r="K65" i="5" s="1"/>
  <c r="I95" i="5"/>
  <c r="J95" i="5"/>
  <c r="I111" i="5"/>
  <c r="J111" i="5"/>
  <c r="K111" i="5" s="1"/>
  <c r="I125" i="5"/>
  <c r="J125" i="5"/>
  <c r="I127" i="5"/>
  <c r="J127" i="5"/>
  <c r="J129" i="5"/>
  <c r="I132" i="5"/>
  <c r="J132" i="5"/>
  <c r="I141" i="5"/>
  <c r="J141" i="5"/>
  <c r="K141" i="5" s="1"/>
  <c r="I143" i="5"/>
  <c r="J143" i="5"/>
  <c r="K143" i="5" s="1"/>
  <c r="I145" i="5"/>
  <c r="I148" i="5"/>
  <c r="J148" i="5"/>
  <c r="I157" i="5"/>
  <c r="J157" i="5"/>
  <c r="I159" i="5"/>
  <c r="J159" i="5"/>
  <c r="I161" i="5"/>
  <c r="J161" i="5"/>
  <c r="K161" i="5" s="1"/>
  <c r="I164" i="5"/>
  <c r="J164" i="5"/>
  <c r="I173" i="5"/>
  <c r="J173" i="5"/>
  <c r="I175" i="5"/>
  <c r="J175" i="5"/>
  <c r="K175" i="5" s="1"/>
  <c r="I180" i="5"/>
  <c r="J180" i="5"/>
  <c r="I189" i="5"/>
  <c r="J189" i="5"/>
  <c r="I191" i="5"/>
  <c r="J191" i="5"/>
  <c r="I196" i="5"/>
  <c r="J196" i="5"/>
  <c r="I205" i="5"/>
  <c r="J205" i="5"/>
  <c r="K205" i="5" s="1"/>
  <c r="I206" i="5"/>
  <c r="J206" i="5"/>
  <c r="K206" i="5" s="1"/>
  <c r="I207" i="5"/>
  <c r="J207" i="5"/>
  <c r="K207" i="5" s="1"/>
  <c r="I209" i="5"/>
  <c r="J209" i="5"/>
  <c r="I212" i="5"/>
  <c r="J212" i="5"/>
  <c r="I221" i="5"/>
  <c r="J221" i="5"/>
  <c r="I222" i="5"/>
  <c r="J222" i="5"/>
  <c r="K222" i="5" s="1"/>
  <c r="I223" i="5"/>
  <c r="J223" i="5"/>
  <c r="I225" i="5"/>
  <c r="J225" i="5"/>
  <c r="K225" i="5" s="1"/>
  <c r="I228" i="5"/>
  <c r="J228" i="5"/>
  <c r="I237" i="5"/>
  <c r="J237" i="5"/>
  <c r="I238" i="5"/>
  <c r="J238" i="5"/>
  <c r="K238" i="5" s="1"/>
  <c r="I239" i="5"/>
  <c r="J239" i="5"/>
  <c r="I244" i="5"/>
  <c r="J244" i="5"/>
  <c r="I253" i="5"/>
  <c r="J253" i="5"/>
  <c r="I254" i="5"/>
  <c r="J254" i="5"/>
  <c r="K254" i="5" s="1"/>
  <c r="I255" i="5"/>
  <c r="J255" i="5"/>
  <c r="I260" i="5"/>
  <c r="K260" i="5" s="1"/>
  <c r="J260" i="5"/>
  <c r="I269" i="5"/>
  <c r="J269" i="5"/>
  <c r="K269" i="5" s="1"/>
  <c r="I270" i="5"/>
  <c r="J270" i="5"/>
  <c r="I271" i="5"/>
  <c r="J271" i="5"/>
  <c r="K271" i="5" s="1"/>
  <c r="I276" i="5"/>
  <c r="J276" i="5"/>
  <c r="I285" i="5"/>
  <c r="J285" i="5"/>
  <c r="I286" i="5"/>
  <c r="J286" i="5"/>
  <c r="K286" i="5" s="1"/>
  <c r="I287" i="5"/>
  <c r="J287" i="5"/>
  <c r="J289" i="5"/>
  <c r="I292" i="5"/>
  <c r="J292" i="5"/>
  <c r="I301" i="5"/>
  <c r="J301" i="5"/>
  <c r="I302" i="5"/>
  <c r="J302" i="5"/>
  <c r="K302" i="5" s="1"/>
  <c r="I303" i="5"/>
  <c r="J303" i="5"/>
  <c r="K303" i="5" s="1"/>
  <c r="I305" i="5"/>
  <c r="I308" i="5"/>
  <c r="J308" i="5"/>
  <c r="I317" i="5"/>
  <c r="J317" i="5"/>
  <c r="I318" i="5"/>
  <c r="J318" i="5"/>
  <c r="I319" i="5"/>
  <c r="J319" i="5"/>
  <c r="I324" i="5"/>
  <c r="J324" i="5"/>
  <c r="I333" i="5"/>
  <c r="J333" i="5"/>
  <c r="I334" i="5"/>
  <c r="J334" i="5"/>
  <c r="K334" i="5" s="1"/>
  <c r="I335" i="5"/>
  <c r="J335" i="5"/>
  <c r="K335" i="5" s="1"/>
  <c r="I340" i="5"/>
  <c r="J340" i="5"/>
  <c r="I349" i="5"/>
  <c r="J349" i="5"/>
  <c r="K349" i="5" s="1"/>
  <c r="I350" i="5"/>
  <c r="J350" i="5"/>
  <c r="I351" i="5"/>
  <c r="J351" i="5"/>
  <c r="J353" i="5"/>
  <c r="I356" i="5"/>
  <c r="J356" i="5"/>
  <c r="I365" i="5"/>
  <c r="J365" i="5"/>
  <c r="I366" i="5"/>
  <c r="J366" i="5"/>
  <c r="K366" i="5" s="1"/>
  <c r="I367" i="5"/>
  <c r="J367" i="5"/>
  <c r="J369" i="5"/>
  <c r="I372" i="5"/>
  <c r="J372" i="5"/>
  <c r="I133" i="5" l="1"/>
  <c r="J133" i="5"/>
  <c r="I281" i="5"/>
  <c r="J281" i="5"/>
  <c r="K281" i="5" s="1"/>
  <c r="J229" i="5"/>
  <c r="I229" i="5"/>
  <c r="I101" i="5"/>
  <c r="J101" i="5"/>
  <c r="I84" i="5"/>
  <c r="J84" i="5"/>
  <c r="J243" i="5"/>
  <c r="I243" i="5"/>
  <c r="I35" i="5"/>
  <c r="J35" i="5"/>
  <c r="I313" i="5"/>
  <c r="J313" i="5"/>
  <c r="K313" i="5" s="1"/>
  <c r="J261" i="5"/>
  <c r="I261" i="5"/>
  <c r="I53" i="5"/>
  <c r="J53" i="5"/>
  <c r="K53" i="5" s="1"/>
  <c r="I116" i="5"/>
  <c r="J116" i="5"/>
  <c r="J259" i="5"/>
  <c r="I259" i="5"/>
  <c r="I293" i="5"/>
  <c r="J293" i="5"/>
  <c r="I117" i="5"/>
  <c r="J117" i="5"/>
  <c r="K117" i="5" s="1"/>
  <c r="I325" i="5"/>
  <c r="J325" i="5"/>
  <c r="J165" i="5"/>
  <c r="I165" i="5"/>
  <c r="I352" i="5"/>
  <c r="J352" i="5"/>
  <c r="K352" i="5" s="1"/>
  <c r="I304" i="5"/>
  <c r="J304" i="5"/>
  <c r="I240" i="5"/>
  <c r="J240" i="5"/>
  <c r="I192" i="5"/>
  <c r="J192" i="5"/>
  <c r="I160" i="5"/>
  <c r="J160" i="5"/>
  <c r="I144" i="5"/>
  <c r="J144" i="5"/>
  <c r="K144" i="5" s="1"/>
  <c r="I128" i="5"/>
  <c r="K128" i="5" s="1"/>
  <c r="J128" i="5"/>
  <c r="I112" i="5"/>
  <c r="J112" i="5"/>
  <c r="K112" i="5" s="1"/>
  <c r="I96" i="5"/>
  <c r="J96" i="5"/>
  <c r="I80" i="5"/>
  <c r="J80" i="5"/>
  <c r="I64" i="5"/>
  <c r="J64" i="5"/>
  <c r="I48" i="5"/>
  <c r="J48" i="5"/>
  <c r="J32" i="5"/>
  <c r="I32" i="5"/>
  <c r="I341" i="5"/>
  <c r="J341" i="5"/>
  <c r="K341" i="5" s="1"/>
  <c r="I149" i="5"/>
  <c r="J149" i="5"/>
  <c r="I345" i="5"/>
  <c r="J345" i="5"/>
  <c r="K345" i="5" s="1"/>
  <c r="I277" i="5"/>
  <c r="J277" i="5"/>
  <c r="K277" i="5" s="1"/>
  <c r="I181" i="5"/>
  <c r="J181" i="5"/>
  <c r="K181" i="5" s="1"/>
  <c r="I52" i="5"/>
  <c r="J52" i="5"/>
  <c r="I336" i="5"/>
  <c r="J336" i="5"/>
  <c r="K336" i="5" s="1"/>
  <c r="I288" i="5"/>
  <c r="J288" i="5"/>
  <c r="I256" i="5"/>
  <c r="J256" i="5"/>
  <c r="I208" i="5"/>
  <c r="J208" i="5"/>
  <c r="I190" i="5"/>
  <c r="J190" i="5"/>
  <c r="K190" i="5" s="1"/>
  <c r="I174" i="5"/>
  <c r="J174" i="5"/>
  <c r="K174" i="5" s="1"/>
  <c r="I142" i="5"/>
  <c r="J142" i="5"/>
  <c r="K142" i="5" s="1"/>
  <c r="I126" i="5"/>
  <c r="J126" i="5"/>
  <c r="I110" i="5"/>
  <c r="J110" i="5"/>
  <c r="K110" i="5" s="1"/>
  <c r="I94" i="5"/>
  <c r="J94" i="5"/>
  <c r="I78" i="5"/>
  <c r="J78" i="5"/>
  <c r="I62" i="5"/>
  <c r="J62" i="5"/>
  <c r="I46" i="5"/>
  <c r="J46" i="5"/>
  <c r="K46" i="5" s="1"/>
  <c r="I30" i="5"/>
  <c r="J30" i="5"/>
  <c r="I373" i="5"/>
  <c r="J373" i="5"/>
  <c r="K373" i="5" s="1"/>
  <c r="I197" i="5"/>
  <c r="J197" i="5"/>
  <c r="I21" i="5"/>
  <c r="J21" i="5"/>
  <c r="I20" i="5"/>
  <c r="J20" i="5"/>
  <c r="I368" i="5"/>
  <c r="J368" i="5"/>
  <c r="I320" i="5"/>
  <c r="K320" i="5" s="1"/>
  <c r="J320" i="5"/>
  <c r="I272" i="5"/>
  <c r="J272" i="5"/>
  <c r="K272" i="5" s="1"/>
  <c r="I224" i="5"/>
  <c r="J224" i="5"/>
  <c r="I176" i="5"/>
  <c r="J176" i="5"/>
  <c r="I158" i="5"/>
  <c r="J158" i="5"/>
  <c r="K158" i="5" s="1"/>
  <c r="I109" i="5"/>
  <c r="J109" i="5"/>
  <c r="K109" i="5" s="1"/>
  <c r="I93" i="5"/>
  <c r="J93" i="5"/>
  <c r="I77" i="5"/>
  <c r="J77" i="5"/>
  <c r="K77" i="5" s="1"/>
  <c r="I61" i="5"/>
  <c r="J61" i="5"/>
  <c r="K61" i="5" s="1"/>
  <c r="I45" i="5"/>
  <c r="J45" i="5"/>
  <c r="K45" i="5" s="1"/>
  <c r="I29" i="5"/>
  <c r="J29" i="5"/>
  <c r="K29" i="5" s="1"/>
  <c r="I357" i="5"/>
  <c r="J357" i="5"/>
  <c r="I213" i="5"/>
  <c r="J213" i="5"/>
  <c r="K213" i="5" s="1"/>
  <c r="J85" i="5"/>
  <c r="I85" i="5"/>
  <c r="I68" i="5"/>
  <c r="J68" i="5"/>
  <c r="I364" i="5"/>
  <c r="J364" i="5"/>
  <c r="K364" i="5" s="1"/>
  <c r="I348" i="5"/>
  <c r="J348" i="5"/>
  <c r="J332" i="5"/>
  <c r="I332" i="5"/>
  <c r="K332" i="5" s="1"/>
  <c r="J316" i="5"/>
  <c r="I316" i="5"/>
  <c r="I300" i="5"/>
  <c r="J300" i="5"/>
  <c r="I284" i="5"/>
  <c r="J284" i="5"/>
  <c r="I268" i="5"/>
  <c r="J268" i="5"/>
  <c r="J252" i="5"/>
  <c r="I252" i="5"/>
  <c r="I236" i="5"/>
  <c r="J236" i="5"/>
  <c r="I220" i="5"/>
  <c r="J220" i="5"/>
  <c r="K220" i="5" s="1"/>
  <c r="I204" i="5"/>
  <c r="J204" i="5"/>
  <c r="K204" i="5" s="1"/>
  <c r="I188" i="5"/>
  <c r="J188" i="5"/>
  <c r="K188" i="5" s="1"/>
  <c r="I172" i="5"/>
  <c r="J172" i="5"/>
  <c r="J156" i="5"/>
  <c r="I156" i="5"/>
  <c r="I140" i="5"/>
  <c r="J140" i="5"/>
  <c r="I124" i="5"/>
  <c r="J124" i="5"/>
  <c r="I108" i="5"/>
  <c r="J108" i="5"/>
  <c r="I92" i="5"/>
  <c r="K92" i="5" s="1"/>
  <c r="J92" i="5"/>
  <c r="I76" i="5"/>
  <c r="J76" i="5"/>
  <c r="K76" i="5" s="1"/>
  <c r="I60" i="5"/>
  <c r="J60" i="5"/>
  <c r="I44" i="5"/>
  <c r="J44" i="5"/>
  <c r="I28" i="5"/>
  <c r="J28" i="5"/>
  <c r="J377" i="5"/>
  <c r="I377" i="5"/>
  <c r="K377" i="5" s="1"/>
  <c r="I309" i="5"/>
  <c r="J309" i="5"/>
  <c r="K309" i="5" s="1"/>
  <c r="I69" i="5"/>
  <c r="J69" i="5"/>
  <c r="I36" i="5"/>
  <c r="J36" i="5"/>
  <c r="I363" i="5"/>
  <c r="J363" i="5"/>
  <c r="K363" i="5" s="1"/>
  <c r="I347" i="5"/>
  <c r="J347" i="5"/>
  <c r="K347" i="5" s="1"/>
  <c r="I331" i="5"/>
  <c r="J331" i="5"/>
  <c r="I315" i="5"/>
  <c r="J315" i="5"/>
  <c r="I299" i="5"/>
  <c r="J299" i="5"/>
  <c r="K299" i="5" s="1"/>
  <c r="I283" i="5"/>
  <c r="J283" i="5"/>
  <c r="K283" i="5" s="1"/>
  <c r="I267" i="5"/>
  <c r="J267" i="5"/>
  <c r="K267" i="5" s="1"/>
  <c r="I251" i="5"/>
  <c r="J251" i="5"/>
  <c r="J235" i="5"/>
  <c r="I235" i="5"/>
  <c r="I219" i="5"/>
  <c r="J219" i="5"/>
  <c r="K219" i="5" s="1"/>
  <c r="I203" i="5"/>
  <c r="J203" i="5"/>
  <c r="I187" i="5"/>
  <c r="J187" i="5"/>
  <c r="I171" i="5"/>
  <c r="J171" i="5"/>
  <c r="K171" i="5" s="1"/>
  <c r="I155" i="5"/>
  <c r="J155" i="5"/>
  <c r="K155" i="5" s="1"/>
  <c r="I139" i="5"/>
  <c r="J139" i="5"/>
  <c r="I123" i="5"/>
  <c r="J123" i="5"/>
  <c r="I107" i="5"/>
  <c r="J107" i="5"/>
  <c r="K107" i="5" s="1"/>
  <c r="I91" i="5"/>
  <c r="J91" i="5"/>
  <c r="K91" i="5" s="1"/>
  <c r="I75" i="5"/>
  <c r="J75" i="5"/>
  <c r="J59" i="5"/>
  <c r="I59" i="5"/>
  <c r="I43" i="5"/>
  <c r="J43" i="5"/>
  <c r="K43" i="5" s="1"/>
  <c r="I27" i="5"/>
  <c r="J27" i="5"/>
  <c r="K27" i="5" s="1"/>
  <c r="I329" i="5"/>
  <c r="J329" i="5"/>
  <c r="K329" i="5" s="1"/>
  <c r="I245" i="5"/>
  <c r="J245" i="5"/>
  <c r="I37" i="5"/>
  <c r="J37" i="5"/>
  <c r="K37" i="5" s="1"/>
  <c r="I100" i="5"/>
  <c r="J100" i="5"/>
  <c r="J378" i="5"/>
  <c r="I378" i="5"/>
  <c r="J362" i="5"/>
  <c r="I362" i="5"/>
  <c r="K362" i="5" s="1"/>
  <c r="I346" i="5"/>
  <c r="J346" i="5"/>
  <c r="K346" i="5" s="1"/>
  <c r="I330" i="5"/>
  <c r="J330" i="5"/>
  <c r="J314" i="5"/>
  <c r="I314" i="5"/>
  <c r="I298" i="5"/>
  <c r="K298" i="5" s="1"/>
  <c r="J298" i="5"/>
  <c r="I282" i="5"/>
  <c r="J282" i="5"/>
  <c r="K282" i="5" s="1"/>
  <c r="I266" i="5"/>
  <c r="J266" i="5"/>
  <c r="K266" i="5" s="1"/>
  <c r="I250" i="5"/>
  <c r="J250" i="5"/>
  <c r="K250" i="5" s="1"/>
  <c r="I234" i="5"/>
  <c r="J234" i="5"/>
  <c r="I218" i="5"/>
  <c r="J218" i="5"/>
  <c r="K218" i="5" s="1"/>
  <c r="I202" i="5"/>
  <c r="J202" i="5"/>
  <c r="I186" i="5"/>
  <c r="J186" i="5"/>
  <c r="K186" i="5" s="1"/>
  <c r="I170" i="5"/>
  <c r="K170" i="5" s="1"/>
  <c r="J170" i="5"/>
  <c r="I154" i="5"/>
  <c r="J154" i="5"/>
  <c r="K154" i="5" s="1"/>
  <c r="I138" i="5"/>
  <c r="J138" i="5"/>
  <c r="I122" i="5"/>
  <c r="J122" i="5"/>
  <c r="I106" i="5"/>
  <c r="J106" i="5"/>
  <c r="I90" i="5"/>
  <c r="J90" i="5"/>
  <c r="K90" i="5" s="1"/>
  <c r="I74" i="5"/>
  <c r="J74" i="5"/>
  <c r="K74" i="5" s="1"/>
  <c r="I58" i="5"/>
  <c r="J58" i="5"/>
  <c r="K58" i="5" s="1"/>
  <c r="J42" i="5"/>
  <c r="K42" i="5" s="1"/>
  <c r="I42" i="5"/>
  <c r="I26" i="5"/>
  <c r="J26" i="5"/>
  <c r="K26" i="5" s="1"/>
  <c r="I265" i="5"/>
  <c r="J265" i="5"/>
  <c r="K265" i="5" s="1"/>
  <c r="I217" i="5"/>
  <c r="J217" i="5"/>
  <c r="K217" i="5" s="1"/>
  <c r="I185" i="5"/>
  <c r="J185" i="5"/>
  <c r="I153" i="5"/>
  <c r="J153" i="5"/>
  <c r="K153" i="5" s="1"/>
  <c r="I121" i="5"/>
  <c r="J121" i="5"/>
  <c r="I105" i="5"/>
  <c r="J105" i="5"/>
  <c r="K105" i="5" s="1"/>
  <c r="I73" i="5"/>
  <c r="J73" i="5"/>
  <c r="I57" i="5"/>
  <c r="J57" i="5"/>
  <c r="K57" i="5" s="1"/>
  <c r="I41" i="5"/>
  <c r="J41" i="5"/>
  <c r="J25" i="5"/>
  <c r="I25" i="5"/>
  <c r="I297" i="5"/>
  <c r="J297" i="5"/>
  <c r="I233" i="5"/>
  <c r="J233" i="5"/>
  <c r="I201" i="5"/>
  <c r="J201" i="5"/>
  <c r="K201" i="5" s="1"/>
  <c r="I169" i="5"/>
  <c r="J169" i="5"/>
  <c r="K169" i="5" s="1"/>
  <c r="I137" i="5"/>
  <c r="J137" i="5"/>
  <c r="I89" i="5"/>
  <c r="J89" i="5"/>
  <c r="K89" i="5" s="1"/>
  <c r="I376" i="5"/>
  <c r="J376" i="5"/>
  <c r="I360" i="5"/>
  <c r="J360" i="5"/>
  <c r="K360" i="5" s="1"/>
  <c r="I344" i="5"/>
  <c r="J344" i="5"/>
  <c r="I328" i="5"/>
  <c r="J328" i="5"/>
  <c r="K328" i="5" s="1"/>
  <c r="I312" i="5"/>
  <c r="J312" i="5"/>
  <c r="I296" i="5"/>
  <c r="J296" i="5"/>
  <c r="K296" i="5" s="1"/>
  <c r="J280" i="5"/>
  <c r="I280" i="5"/>
  <c r="J264" i="5"/>
  <c r="K264" i="5" s="1"/>
  <c r="I264" i="5"/>
  <c r="I248" i="5"/>
  <c r="J248" i="5"/>
  <c r="I232" i="5"/>
  <c r="J232" i="5"/>
  <c r="I216" i="5"/>
  <c r="J216" i="5"/>
  <c r="I200" i="5"/>
  <c r="J200" i="5"/>
  <c r="K200" i="5" s="1"/>
  <c r="I184" i="5"/>
  <c r="J184" i="5"/>
  <c r="I168" i="5"/>
  <c r="J168" i="5"/>
  <c r="I152" i="5"/>
  <c r="K152" i="5" s="1"/>
  <c r="J152" i="5"/>
  <c r="I136" i="5"/>
  <c r="J136" i="5"/>
  <c r="K136" i="5" s="1"/>
  <c r="J120" i="5"/>
  <c r="I120" i="5"/>
  <c r="K120" i="5" s="1"/>
  <c r="I104" i="5"/>
  <c r="J104" i="5"/>
  <c r="I88" i="5"/>
  <c r="J88" i="5"/>
  <c r="I72" i="5"/>
  <c r="J72" i="5"/>
  <c r="I56" i="5"/>
  <c r="J56" i="5"/>
  <c r="I40" i="5"/>
  <c r="J40" i="5"/>
  <c r="K40" i="5" s="1"/>
  <c r="J24" i="5"/>
  <c r="K24" i="5" s="1"/>
  <c r="I24" i="5"/>
  <c r="I361" i="5"/>
  <c r="J361" i="5"/>
  <c r="K361" i="5" s="1"/>
  <c r="I375" i="5"/>
  <c r="J375" i="5"/>
  <c r="I343" i="5"/>
  <c r="J343" i="5"/>
  <c r="I311" i="5"/>
  <c r="J311" i="5"/>
  <c r="I263" i="5"/>
  <c r="J263" i="5"/>
  <c r="I231" i="5"/>
  <c r="J231" i="5"/>
  <c r="K231" i="5" s="1"/>
  <c r="J199" i="5"/>
  <c r="I199" i="5"/>
  <c r="I151" i="5"/>
  <c r="J151" i="5"/>
  <c r="I55" i="5"/>
  <c r="J55" i="5"/>
  <c r="K55" i="5" s="1"/>
  <c r="I249" i="5"/>
  <c r="J249" i="5"/>
  <c r="I359" i="5"/>
  <c r="J359" i="5"/>
  <c r="I327" i="5"/>
  <c r="J327" i="5"/>
  <c r="I295" i="5"/>
  <c r="J295" i="5"/>
  <c r="K295" i="5" s="1"/>
  <c r="I279" i="5"/>
  <c r="J279" i="5"/>
  <c r="K279" i="5" s="1"/>
  <c r="J247" i="5"/>
  <c r="I247" i="5"/>
  <c r="I215" i="5"/>
  <c r="J215" i="5"/>
  <c r="K215" i="5" s="1"/>
  <c r="I183" i="5"/>
  <c r="J183" i="5"/>
  <c r="K183" i="5" s="1"/>
  <c r="I167" i="5"/>
  <c r="J167" i="5"/>
  <c r="K167" i="5" s="1"/>
  <c r="I135" i="5"/>
  <c r="J135" i="5"/>
  <c r="I119" i="5"/>
  <c r="J119" i="5"/>
  <c r="J103" i="5"/>
  <c r="I103" i="5"/>
  <c r="I87" i="5"/>
  <c r="J87" i="5"/>
  <c r="K87" i="5" s="1"/>
  <c r="I71" i="5"/>
  <c r="J71" i="5"/>
  <c r="K71" i="5" s="1"/>
  <c r="I39" i="5"/>
  <c r="J39" i="5"/>
  <c r="I23" i="5"/>
  <c r="J23" i="5"/>
  <c r="K23" i="5" s="1"/>
  <c r="I374" i="5"/>
  <c r="J374" i="5"/>
  <c r="I358" i="5"/>
  <c r="J358" i="5"/>
  <c r="K358" i="5" s="1"/>
  <c r="I342" i="5"/>
  <c r="J342" i="5"/>
  <c r="J326" i="5"/>
  <c r="I326" i="5"/>
  <c r="K326" i="5" s="1"/>
  <c r="I310" i="5"/>
  <c r="J310" i="5"/>
  <c r="I294" i="5"/>
  <c r="J294" i="5"/>
  <c r="K294" i="5" s="1"/>
  <c r="J278" i="5"/>
  <c r="K278" i="5" s="1"/>
  <c r="I278" i="5"/>
  <c r="J262" i="5"/>
  <c r="I262" i="5"/>
  <c r="J246" i="5"/>
  <c r="I246" i="5"/>
  <c r="K246" i="5" s="1"/>
  <c r="I230" i="5"/>
  <c r="J230" i="5"/>
  <c r="K230" i="5" s="1"/>
  <c r="I214" i="5"/>
  <c r="J214" i="5"/>
  <c r="K214" i="5" s="1"/>
  <c r="I198" i="5"/>
  <c r="J198" i="5"/>
  <c r="K198" i="5" s="1"/>
  <c r="I182" i="5"/>
  <c r="J182" i="5"/>
  <c r="K182" i="5" s="1"/>
  <c r="I166" i="5"/>
  <c r="J166" i="5"/>
  <c r="K166" i="5" s="1"/>
  <c r="I150" i="5"/>
  <c r="J150" i="5"/>
  <c r="I134" i="5"/>
  <c r="J134" i="5"/>
  <c r="K134" i="5" s="1"/>
  <c r="I118" i="5"/>
  <c r="J118" i="5"/>
  <c r="K118" i="5" s="1"/>
  <c r="J102" i="5"/>
  <c r="I102" i="5"/>
  <c r="I86" i="5"/>
  <c r="J86" i="5"/>
  <c r="K86" i="5" s="1"/>
  <c r="I70" i="5"/>
  <c r="J70" i="5"/>
  <c r="K70" i="5" s="1"/>
  <c r="I54" i="5"/>
  <c r="J54" i="5"/>
  <c r="I38" i="5"/>
  <c r="J38" i="5"/>
  <c r="K38" i="5" s="1"/>
  <c r="I22" i="5"/>
  <c r="J22" i="5"/>
  <c r="K333" i="5"/>
  <c r="J66" i="5"/>
  <c r="K66" i="5" s="1"/>
  <c r="K50" i="5"/>
  <c r="J82" i="5"/>
  <c r="K82" i="5" s="1"/>
  <c r="K47" i="5"/>
  <c r="J321" i="5"/>
  <c r="K321" i="5" s="1"/>
  <c r="K244" i="5"/>
  <c r="J81" i="5"/>
  <c r="I98" i="5"/>
  <c r="K98" i="5"/>
  <c r="J241" i="5"/>
  <c r="J177" i="5"/>
  <c r="K177" i="5" s="1"/>
  <c r="J97" i="5"/>
  <c r="K97" i="5" s="1"/>
  <c r="J63" i="5"/>
  <c r="K63" i="5" s="1"/>
  <c r="K324" i="5"/>
  <c r="J337" i="5"/>
  <c r="J274" i="5"/>
  <c r="K274" i="5" s="1"/>
  <c r="J258" i="5"/>
  <c r="K258" i="5" s="1"/>
  <c r="J113" i="5"/>
  <c r="J79" i="5"/>
  <c r="K79" i="5" s="1"/>
  <c r="J257" i="5"/>
  <c r="K257" i="5" s="1"/>
  <c r="K308" i="5"/>
  <c r="J273" i="5"/>
  <c r="J193" i="5"/>
  <c r="K193" i="5" s="1"/>
  <c r="K350" i="5"/>
  <c r="K132" i="5"/>
  <c r="K289" i="5"/>
  <c r="K129" i="5"/>
  <c r="K33" i="5"/>
  <c r="K353" i="5"/>
  <c r="D19" i="5"/>
  <c r="F19" i="5" s="1"/>
  <c r="G19" i="5" s="1"/>
  <c r="H19" i="5" s="1"/>
  <c r="D20" i="5" s="1"/>
  <c r="K371" i="5"/>
  <c r="J227" i="5"/>
  <c r="K227" i="5" s="1"/>
  <c r="J242" i="5"/>
  <c r="K242" i="5" s="1"/>
  <c r="K318" i="5"/>
  <c r="K196" i="5"/>
  <c r="K180" i="5"/>
  <c r="K126" i="5"/>
  <c r="J34" i="5"/>
  <c r="K34" i="5" s="1"/>
  <c r="J226" i="5"/>
  <c r="K226" i="5" s="1"/>
  <c r="J211" i="5"/>
  <c r="J195" i="5"/>
  <c r="K195" i="5" s="1"/>
  <c r="J179" i="5"/>
  <c r="K179" i="5" s="1"/>
  <c r="K157" i="5"/>
  <c r="K103" i="5"/>
  <c r="K88" i="5"/>
  <c r="J371" i="5"/>
  <c r="J210" i="5"/>
  <c r="K210" i="5" s="1"/>
  <c r="J194" i="5"/>
  <c r="K194" i="5" s="1"/>
  <c r="J163" i="5"/>
  <c r="K163" i="5" s="1"/>
  <c r="K48" i="5"/>
  <c r="J355" i="5"/>
  <c r="K355" i="5" s="1"/>
  <c r="K202" i="5"/>
  <c r="J178" i="5"/>
  <c r="K178" i="5" s="1"/>
  <c r="J370" i="5"/>
  <c r="K370" i="5" s="1"/>
  <c r="K270" i="5"/>
  <c r="K239" i="5"/>
  <c r="K78" i="5"/>
  <c r="K62" i="5"/>
  <c r="K39" i="5"/>
  <c r="J339" i="5"/>
  <c r="J323" i="5"/>
  <c r="K323" i="5" s="1"/>
  <c r="J307" i="5"/>
  <c r="K307" i="5" s="1"/>
  <c r="K285" i="5"/>
  <c r="J162" i="5"/>
  <c r="K162" i="5" s="1"/>
  <c r="J147" i="5"/>
  <c r="K147" i="5" s="1"/>
  <c r="J131" i="5"/>
  <c r="K131" i="5" s="1"/>
  <c r="K93" i="5"/>
  <c r="K304" i="5"/>
  <c r="J354" i="5"/>
  <c r="K354" i="5" s="1"/>
  <c r="J115" i="5"/>
  <c r="K115" i="5" s="1"/>
  <c r="J338" i="5"/>
  <c r="K338" i="5" s="1"/>
  <c r="J322" i="5"/>
  <c r="K322" i="5" s="1"/>
  <c r="J291" i="5"/>
  <c r="K291" i="5" s="1"/>
  <c r="J146" i="5"/>
  <c r="K146" i="5" s="1"/>
  <c r="J130" i="5"/>
  <c r="K130" i="5" s="1"/>
  <c r="K122" i="5"/>
  <c r="J306" i="5"/>
  <c r="K306" i="5" s="1"/>
  <c r="J99" i="5"/>
  <c r="K99" i="5" s="1"/>
  <c r="K30" i="5"/>
  <c r="J114" i="5"/>
  <c r="K114" i="5" s="1"/>
  <c r="K68" i="5"/>
  <c r="K52" i="5"/>
  <c r="J290" i="5"/>
  <c r="K290" i="5" s="1"/>
  <c r="J275" i="5"/>
  <c r="K275" i="5" s="1"/>
  <c r="K106" i="5"/>
  <c r="J83" i="5"/>
  <c r="K83" i="5" s="1"/>
  <c r="J67" i="5"/>
  <c r="K67" i="5" s="1"/>
  <c r="J51" i="5"/>
  <c r="K51" i="5" s="1"/>
  <c r="K344" i="5"/>
  <c r="K221" i="5"/>
  <c r="J19" i="5"/>
  <c r="K19" i="5" s="1"/>
  <c r="K72" i="5"/>
  <c r="K376" i="5"/>
  <c r="K369" i="5"/>
  <c r="K348" i="5"/>
  <c r="K319" i="5"/>
  <c r="K305" i="5"/>
  <c r="K284" i="5"/>
  <c r="K255" i="5"/>
  <c r="K241" i="5"/>
  <c r="K191" i="5"/>
  <c r="K156" i="5"/>
  <c r="K127" i="5"/>
  <c r="K113" i="5"/>
  <c r="K49" i="5"/>
  <c r="K368" i="5"/>
  <c r="K340" i="5"/>
  <c r="K311" i="5"/>
  <c r="K297" i="5"/>
  <c r="K276" i="5"/>
  <c r="K247" i="5"/>
  <c r="K233" i="5"/>
  <c r="K212" i="5"/>
  <c r="K148" i="5"/>
  <c r="K119" i="5"/>
  <c r="K84" i="5"/>
  <c r="K41" i="5"/>
  <c r="K339" i="5"/>
  <c r="K325" i="5"/>
  <c r="K261" i="5"/>
  <c r="K211" i="5"/>
  <c r="K197" i="5"/>
  <c r="K133" i="5"/>
  <c r="K69" i="5"/>
  <c r="K367" i="5"/>
  <c r="K331" i="5"/>
  <c r="K317" i="5"/>
  <c r="K253" i="5"/>
  <c r="K232" i="5"/>
  <c r="K203" i="5"/>
  <c r="K189" i="5"/>
  <c r="K168" i="5"/>
  <c r="K139" i="5"/>
  <c r="K125" i="5"/>
  <c r="K104" i="5"/>
  <c r="K75" i="5"/>
  <c r="K359" i="5"/>
  <c r="K288" i="5"/>
  <c r="K224" i="5"/>
  <c r="K160" i="5"/>
  <c r="K96" i="5"/>
  <c r="K32" i="5"/>
  <c r="K337" i="5"/>
  <c r="K316" i="5"/>
  <c r="K287" i="5"/>
  <c r="K273" i="5"/>
  <c r="K252" i="5"/>
  <c r="K223" i="5"/>
  <c r="K209" i="5"/>
  <c r="K159" i="5"/>
  <c r="K145" i="5"/>
  <c r="K124" i="5"/>
  <c r="K95" i="5"/>
  <c r="K81" i="5"/>
  <c r="K60" i="5"/>
  <c r="K31" i="5"/>
  <c r="K372" i="5"/>
  <c r="K365" i="5"/>
  <c r="K351" i="5"/>
  <c r="K315" i="5"/>
  <c r="K301" i="5"/>
  <c r="K251" i="5"/>
  <c r="K237" i="5"/>
  <c r="K187" i="5"/>
  <c r="K173" i="5"/>
  <c r="K123" i="5"/>
  <c r="K59" i="5"/>
  <c r="K357" i="5"/>
  <c r="K343" i="5"/>
  <c r="K293" i="5"/>
  <c r="K243" i="5"/>
  <c r="K229" i="5"/>
  <c r="K208" i="5"/>
  <c r="K165" i="5"/>
  <c r="K101" i="5"/>
  <c r="K80" i="5"/>
  <c r="K356" i="5"/>
  <c r="K342" i="5"/>
  <c r="K327" i="5"/>
  <c r="K292" i="5"/>
  <c r="K263" i="5"/>
  <c r="K249" i="5"/>
  <c r="K228" i="5"/>
  <c r="K199" i="5"/>
  <c r="K185" i="5"/>
  <c r="K164" i="5"/>
  <c r="K135" i="5"/>
  <c r="K121" i="5"/>
  <c r="K100" i="5"/>
  <c r="K36" i="5"/>
  <c r="K85" i="5"/>
  <c r="K35" i="5"/>
  <c r="K21" i="5"/>
  <c r="K20" i="5"/>
  <c r="K235" i="5" l="1"/>
  <c r="K22" i="5"/>
  <c r="K150" i="5"/>
  <c r="K151" i="5"/>
  <c r="K280" i="5"/>
  <c r="K137" i="5"/>
  <c r="K73" i="5"/>
  <c r="K245" i="5"/>
  <c r="K149" i="5"/>
  <c r="K314" i="5"/>
  <c r="K108" i="5"/>
  <c r="K236" i="5"/>
  <c r="K256" i="5"/>
  <c r="K54" i="5"/>
  <c r="K310" i="5"/>
  <c r="K56" i="5"/>
  <c r="K184" i="5"/>
  <c r="K312" i="5"/>
  <c r="K330" i="5"/>
  <c r="K94" i="5"/>
  <c r="K140" i="5"/>
  <c r="K268" i="5"/>
  <c r="K192" i="5"/>
  <c r="K259" i="5"/>
  <c r="K262" i="5"/>
  <c r="K216" i="5"/>
  <c r="K234" i="5"/>
  <c r="K28" i="5"/>
  <c r="K64" i="5"/>
  <c r="K240" i="5"/>
  <c r="K116" i="5"/>
  <c r="K102" i="5"/>
  <c r="K25" i="5"/>
  <c r="K378" i="5"/>
  <c r="K44" i="5"/>
  <c r="K172" i="5"/>
  <c r="K300" i="5"/>
  <c r="K176" i="5"/>
  <c r="K374" i="5"/>
  <c r="K375" i="5"/>
  <c r="K248" i="5"/>
  <c r="K138" i="5"/>
  <c r="E20" i="5"/>
  <c r="F20" i="5"/>
  <c r="G20" i="5" l="1"/>
  <c r="H20" i="5" s="1"/>
  <c r="E21" i="5" l="1"/>
  <c r="D21" i="5"/>
  <c r="F21" i="5"/>
  <c r="G21" i="5" l="1"/>
  <c r="H21" i="5" s="1"/>
  <c r="D22" i="5" l="1"/>
  <c r="E22" i="5"/>
  <c r="F22" i="5" s="1"/>
  <c r="G22" i="5" s="1"/>
  <c r="H22" i="5" l="1"/>
  <c r="E23" i="5" l="1"/>
  <c r="D23" i="5"/>
  <c r="F23" i="5"/>
  <c r="G23" i="5" l="1"/>
  <c r="H23" i="5" s="1"/>
  <c r="D24" i="5" l="1"/>
  <c r="E24" i="5"/>
  <c r="F24" i="5" s="1"/>
  <c r="G24" i="5" l="1"/>
  <c r="H24" i="5" s="1"/>
  <c r="D25" i="5" l="1"/>
  <c r="E25" i="5"/>
  <c r="F25" i="5" s="1"/>
  <c r="G25" i="5" s="1"/>
  <c r="H25" i="5" l="1"/>
  <c r="D26" i="5" l="1"/>
  <c r="E26" i="5"/>
  <c r="F26" i="5" l="1"/>
  <c r="G26" i="5"/>
  <c r="H26" i="5" s="1"/>
  <c r="D27" i="5" l="1"/>
  <c r="E27" i="5"/>
  <c r="F27" i="5" l="1"/>
  <c r="G27" i="5" s="1"/>
  <c r="H27" i="5" s="1"/>
  <c r="D28" i="5" l="1"/>
  <c r="E28" i="5"/>
  <c r="F28" i="5" l="1"/>
  <c r="G28" i="5" l="1"/>
  <c r="H28" i="5"/>
  <c r="D29" i="5" l="1"/>
  <c r="E29" i="5"/>
  <c r="F29" i="5" l="1"/>
  <c r="G29" i="5" s="1"/>
  <c r="H29" i="5" s="1"/>
  <c r="E30" i="5" l="1"/>
  <c r="D30" i="5"/>
  <c r="F30" i="5" s="1"/>
  <c r="G30" i="5" s="1"/>
  <c r="H30" i="5" s="1"/>
  <c r="D31" i="5" l="1"/>
  <c r="E31" i="5"/>
  <c r="F31" i="5" l="1"/>
  <c r="G31" i="5" s="1"/>
  <c r="H31" i="5" s="1"/>
  <c r="D32" i="5" l="1"/>
  <c r="E32" i="5"/>
  <c r="F32" i="5" l="1"/>
  <c r="G32" i="5" s="1"/>
  <c r="H32" i="5" s="1"/>
  <c r="D33" i="5" l="1"/>
  <c r="E33" i="5"/>
  <c r="F33" i="5" l="1"/>
  <c r="G33" i="5" s="1"/>
  <c r="H33" i="5" s="1"/>
  <c r="D34" i="5" l="1"/>
  <c r="E34" i="5"/>
  <c r="F34" i="5" l="1"/>
  <c r="G34" i="5" s="1"/>
  <c r="H34" i="5" s="1"/>
  <c r="D35" i="5" l="1"/>
  <c r="E35" i="5"/>
  <c r="F35" i="5" l="1"/>
  <c r="G35" i="5" s="1"/>
  <c r="H35" i="5" s="1"/>
  <c r="D36" i="5" s="1"/>
  <c r="E36" i="5"/>
  <c r="F36" i="5" l="1"/>
  <c r="G36" i="5" s="1"/>
  <c r="H36" i="5" s="1"/>
  <c r="D37" i="5" l="1"/>
  <c r="E37" i="5"/>
  <c r="F37" i="5" l="1"/>
  <c r="G37" i="5" s="1"/>
  <c r="H37" i="5" s="1"/>
  <c r="D38" i="5" l="1"/>
  <c r="E38" i="5"/>
  <c r="F38" i="5" l="1"/>
  <c r="G38" i="5" s="1"/>
  <c r="H38" i="5" s="1"/>
  <c r="D39" i="5" l="1"/>
  <c r="E39" i="5"/>
  <c r="F39" i="5" l="1"/>
  <c r="G39" i="5" s="1"/>
  <c r="H39" i="5" s="1"/>
  <c r="D40" i="5" l="1"/>
  <c r="E40" i="5"/>
  <c r="F40" i="5" l="1"/>
  <c r="G40" i="5" s="1"/>
  <c r="H40" i="5" s="1"/>
  <c r="D41" i="5" l="1"/>
  <c r="E41" i="5"/>
  <c r="F41" i="5" l="1"/>
  <c r="G41" i="5" s="1"/>
  <c r="H41" i="5" s="1"/>
  <c r="D42" i="5" l="1"/>
  <c r="E42" i="5"/>
  <c r="F42" i="5" l="1"/>
  <c r="G42" i="5" l="1"/>
  <c r="H42" i="5" s="1"/>
  <c r="D43" i="5" l="1"/>
  <c r="E43" i="5"/>
  <c r="F43" i="5" l="1"/>
  <c r="G43" i="5" s="1"/>
  <c r="H43" i="5" s="1"/>
  <c r="D44" i="5" s="1"/>
  <c r="E44" i="5" l="1"/>
  <c r="F44" i="5"/>
  <c r="G44" i="5" s="1"/>
  <c r="H44" i="5" s="1"/>
  <c r="D45" i="5" l="1"/>
  <c r="E45" i="5"/>
  <c r="F45" i="5" l="1"/>
  <c r="G45" i="5" l="1"/>
  <c r="H45" i="5" s="1"/>
  <c r="D46" i="5" l="1"/>
  <c r="E46" i="5"/>
  <c r="F46" i="5" l="1"/>
  <c r="G46" i="5" s="1"/>
  <c r="H46" i="5" s="1"/>
  <c r="E47" i="5" l="1"/>
  <c r="D47" i="5"/>
  <c r="F47" i="5" s="1"/>
  <c r="G47" i="5" s="1"/>
  <c r="H47" i="5" s="1"/>
  <c r="E48" i="5" l="1"/>
  <c r="D48" i="5"/>
  <c r="F48" i="5" l="1"/>
  <c r="G48" i="5" s="1"/>
  <c r="H48" i="5" s="1"/>
  <c r="D49" i="5" s="1"/>
  <c r="E49" i="5" l="1"/>
  <c r="F49" i="5"/>
  <c r="G49" i="5" l="1"/>
  <c r="H49" i="5" s="1"/>
  <c r="D50" i="5" l="1"/>
  <c r="E50" i="5"/>
  <c r="F50" i="5" l="1"/>
  <c r="G50" i="5" s="1"/>
  <c r="H50" i="5" s="1"/>
  <c r="D51" i="5" l="1"/>
  <c r="E51" i="5"/>
  <c r="F51" i="5" l="1"/>
  <c r="G51" i="5" s="1"/>
  <c r="H51" i="5" s="1"/>
  <c r="D52" i="5" l="1"/>
  <c r="E52" i="5"/>
  <c r="F52" i="5" l="1"/>
  <c r="G52" i="5" l="1"/>
  <c r="H52" i="5" s="1"/>
  <c r="D53" i="5" l="1"/>
  <c r="E53" i="5"/>
  <c r="F53" i="5" l="1"/>
  <c r="G53" i="5" s="1"/>
  <c r="H53" i="5" s="1"/>
  <c r="D54" i="5" l="1"/>
  <c r="E54" i="5"/>
  <c r="F54" i="5" l="1"/>
  <c r="G54" i="5" l="1"/>
  <c r="H54" i="5" s="1"/>
  <c r="E55" i="5" l="1"/>
  <c r="D55" i="5"/>
  <c r="F55" i="5" l="1"/>
  <c r="G55" i="5" s="1"/>
  <c r="H55" i="5" s="1"/>
  <c r="D56" i="5"/>
  <c r="E56" i="5"/>
  <c r="F56" i="5" l="1"/>
  <c r="G56" i="5" s="1"/>
  <c r="H56" i="5" s="1"/>
  <c r="D57" i="5" l="1"/>
  <c r="E57" i="5"/>
  <c r="F57" i="5" l="1"/>
  <c r="G57" i="5" s="1"/>
  <c r="H57" i="5" s="1"/>
  <c r="D58" i="5" s="1"/>
  <c r="E58" i="5" l="1"/>
  <c r="F58" i="5" s="1"/>
  <c r="G58" i="5" s="1"/>
  <c r="H58" i="5" s="1"/>
  <c r="D59" i="5" l="1"/>
  <c r="E59" i="5"/>
  <c r="F59" i="5" l="1"/>
  <c r="G59" i="5" s="1"/>
  <c r="H59" i="5" s="1"/>
  <c r="D60" i="5" l="1"/>
  <c r="E60" i="5"/>
  <c r="F60" i="5" l="1"/>
  <c r="G60" i="5" s="1"/>
  <c r="H60" i="5" s="1"/>
  <c r="D61" i="5" l="1"/>
  <c r="E61" i="5"/>
  <c r="F61" i="5" l="1"/>
  <c r="G61" i="5" s="1"/>
  <c r="H61" i="5" s="1"/>
  <c r="D62" i="5" l="1"/>
  <c r="E62" i="5"/>
  <c r="F62" i="5" l="1"/>
  <c r="G62" i="5" s="1"/>
  <c r="H62" i="5" s="1"/>
  <c r="D63" i="5" l="1"/>
  <c r="E63" i="5"/>
  <c r="F63" i="5" l="1"/>
  <c r="G63" i="5" s="1"/>
  <c r="H63" i="5" s="1"/>
  <c r="D64" i="5" l="1"/>
  <c r="E64" i="5"/>
  <c r="F64" i="5" l="1"/>
  <c r="G64" i="5" s="1"/>
  <c r="H64" i="5" s="1"/>
  <c r="D65" i="5" s="1"/>
  <c r="E65" i="5" l="1"/>
  <c r="F65" i="5" s="1"/>
  <c r="G65" i="5" l="1"/>
  <c r="H65" i="5" s="1"/>
  <c r="D66" i="5" l="1"/>
  <c r="E66" i="5"/>
  <c r="F66" i="5" l="1"/>
  <c r="G66" i="5" s="1"/>
  <c r="H66" i="5" s="1"/>
  <c r="D67" i="5" l="1"/>
  <c r="E67" i="5"/>
  <c r="F67" i="5" l="1"/>
  <c r="G67" i="5" s="1"/>
  <c r="H67" i="5" s="1"/>
  <c r="D68" i="5" l="1"/>
  <c r="E68" i="5"/>
  <c r="F68" i="5" l="1"/>
  <c r="G68" i="5" l="1"/>
  <c r="H68" i="5"/>
  <c r="D69" i="5" l="1"/>
  <c r="E69" i="5"/>
  <c r="F69" i="5" l="1"/>
  <c r="G69" i="5" s="1"/>
  <c r="H69" i="5" s="1"/>
  <c r="D70" i="5" l="1"/>
  <c r="E70" i="5"/>
  <c r="F70" i="5" l="1"/>
  <c r="G70" i="5" s="1"/>
  <c r="H70" i="5" s="1"/>
  <c r="D71" i="5" l="1"/>
  <c r="E71" i="5"/>
  <c r="F71" i="5" l="1"/>
  <c r="G71" i="5" s="1"/>
  <c r="H71" i="5" s="1"/>
  <c r="D72" i="5" l="1"/>
  <c r="E72" i="5"/>
  <c r="F72" i="5" l="1"/>
  <c r="G72" i="5" l="1"/>
  <c r="H72" i="5" s="1"/>
  <c r="D73" i="5" l="1"/>
  <c r="E73" i="5"/>
  <c r="F73" i="5" l="1"/>
  <c r="G73" i="5" s="1"/>
  <c r="H73" i="5" s="1"/>
  <c r="D74" i="5" l="1"/>
  <c r="E74" i="5"/>
  <c r="F74" i="5" l="1"/>
  <c r="G74" i="5" l="1"/>
  <c r="H74" i="5" s="1"/>
  <c r="D75" i="5" l="1"/>
  <c r="E75" i="5"/>
  <c r="F75" i="5" l="1"/>
  <c r="G75" i="5" l="1"/>
  <c r="H75" i="5" s="1"/>
  <c r="D76" i="5" l="1"/>
  <c r="E76" i="5"/>
  <c r="F76" i="5" l="1"/>
  <c r="G76" i="5" s="1"/>
  <c r="H76" i="5" s="1"/>
  <c r="E77" i="5" l="1"/>
  <c r="D77" i="5"/>
  <c r="F77" i="5" s="1"/>
  <c r="G77" i="5" s="1"/>
  <c r="H77" i="5" s="1"/>
  <c r="D78" i="5" l="1"/>
  <c r="E78" i="5"/>
  <c r="F78" i="5" l="1"/>
  <c r="G78" i="5" s="1"/>
  <c r="H78" i="5" s="1"/>
  <c r="D79" i="5" s="1"/>
  <c r="E79" i="5" l="1"/>
  <c r="F79" i="5" s="1"/>
  <c r="G79" i="5" l="1"/>
  <c r="H79" i="5"/>
  <c r="D80" i="5" s="1"/>
  <c r="E80" i="5" l="1"/>
  <c r="F80" i="5"/>
  <c r="G80" i="5" s="1"/>
  <c r="H80" i="5" s="1"/>
  <c r="D81" i="5" l="1"/>
  <c r="E81" i="5"/>
  <c r="F81" i="5" l="1"/>
  <c r="G81" i="5" s="1"/>
  <c r="H81" i="5" s="1"/>
  <c r="D82" i="5" l="1"/>
  <c r="E82" i="5"/>
  <c r="F82" i="5" l="1"/>
  <c r="G82" i="5" s="1"/>
  <c r="H82" i="5" s="1"/>
  <c r="D83" i="5"/>
  <c r="E83" i="5"/>
  <c r="F83" i="5" l="1"/>
  <c r="G83" i="5" l="1"/>
  <c r="H83" i="5" s="1"/>
  <c r="E84" i="5" l="1"/>
  <c r="D84" i="5"/>
  <c r="F84" i="5" l="1"/>
  <c r="G84" i="5" s="1"/>
  <c r="H84" i="5" s="1"/>
  <c r="D85" i="5" s="1"/>
  <c r="E85" i="5"/>
  <c r="F85" i="5" l="1"/>
  <c r="G85" i="5" s="1"/>
  <c r="H85" i="5" s="1"/>
  <c r="D86" i="5" l="1"/>
  <c r="E86" i="5"/>
  <c r="F86" i="5" l="1"/>
  <c r="G86" i="5" s="1"/>
  <c r="H86" i="5" s="1"/>
  <c r="D87" i="5" l="1"/>
  <c r="E87" i="5"/>
  <c r="F87" i="5" l="1"/>
  <c r="G87" i="5" s="1"/>
  <c r="H87" i="5" s="1"/>
  <c r="D88" i="5" l="1"/>
  <c r="E88" i="5"/>
  <c r="F88" i="5" l="1"/>
  <c r="G88" i="5" l="1"/>
  <c r="H88" i="5" s="1"/>
  <c r="D89" i="5" l="1"/>
  <c r="E89" i="5"/>
  <c r="F89" i="5" l="1"/>
  <c r="G89" i="5" s="1"/>
  <c r="H89" i="5" s="1"/>
  <c r="D90" i="5" l="1"/>
  <c r="E90" i="5"/>
  <c r="F90" i="5" l="1"/>
  <c r="G90" i="5" l="1"/>
  <c r="H90" i="5" s="1"/>
  <c r="D91" i="5" l="1"/>
  <c r="E91" i="5"/>
  <c r="F91" i="5" l="1"/>
  <c r="G91" i="5" s="1"/>
  <c r="H91" i="5" s="1"/>
  <c r="D92" i="5" l="1"/>
  <c r="E92" i="5"/>
  <c r="F92" i="5" l="1"/>
  <c r="G92" i="5" s="1"/>
  <c r="H92" i="5" s="1"/>
  <c r="D93" i="5" l="1"/>
  <c r="E93" i="5"/>
  <c r="F93" i="5" l="1"/>
  <c r="G93" i="5" s="1"/>
  <c r="H93" i="5" s="1"/>
  <c r="D94" i="5" s="1"/>
  <c r="E94" i="5" l="1"/>
  <c r="F94" i="5" s="1"/>
  <c r="G94" i="5" s="1"/>
  <c r="H94" i="5" s="1"/>
  <c r="E95" i="5" l="1"/>
  <c r="D95" i="5"/>
  <c r="F95" i="5" l="1"/>
  <c r="G95" i="5" s="1"/>
  <c r="H95" i="5" s="1"/>
  <c r="D96" i="5" l="1"/>
  <c r="E96" i="5"/>
  <c r="F96" i="5" l="1"/>
  <c r="G96" i="5" s="1"/>
  <c r="H96" i="5" s="1"/>
  <c r="D97" i="5" s="1"/>
  <c r="E97" i="5" l="1"/>
  <c r="F97" i="5" s="1"/>
  <c r="G97" i="5" l="1"/>
  <c r="H97" i="5" s="1"/>
  <c r="D98" i="5" l="1"/>
  <c r="E98" i="5"/>
  <c r="F98" i="5" l="1"/>
  <c r="G98" i="5" s="1"/>
  <c r="H98" i="5" l="1"/>
  <c r="D99" i="5" s="1"/>
  <c r="E99" i="5"/>
  <c r="F99" i="5" l="1"/>
  <c r="G99" i="5" l="1"/>
  <c r="H99" i="5"/>
  <c r="D100" i="5" l="1"/>
  <c r="E100" i="5"/>
  <c r="F100" i="5" l="1"/>
  <c r="G100" i="5" s="1"/>
  <c r="H100" i="5" s="1"/>
  <c r="D101" i="5" l="1"/>
  <c r="E101" i="5"/>
  <c r="F101" i="5" l="1"/>
  <c r="G101" i="5" s="1"/>
  <c r="H101" i="5" s="1"/>
  <c r="D102" i="5" l="1"/>
  <c r="E102" i="5"/>
  <c r="F102" i="5" l="1"/>
  <c r="G102" i="5" l="1"/>
  <c r="H102" i="5"/>
  <c r="D103" i="5" l="1"/>
  <c r="E103" i="5"/>
  <c r="F103" i="5" l="1"/>
  <c r="G103" i="5" s="1"/>
  <c r="H103" i="5" s="1"/>
  <c r="D104" i="5" l="1"/>
  <c r="E104" i="5"/>
  <c r="F104" i="5" l="1"/>
  <c r="G104" i="5" s="1"/>
  <c r="H104" i="5" s="1"/>
  <c r="D105" i="5" l="1"/>
  <c r="E105" i="5"/>
  <c r="F105" i="5" l="1"/>
  <c r="G105" i="5" s="1"/>
  <c r="H105" i="5" s="1"/>
  <c r="D106" i="5"/>
  <c r="E106" i="5"/>
  <c r="F106" i="5" l="1"/>
  <c r="G106" i="5" s="1"/>
  <c r="H106" i="5" s="1"/>
  <c r="D107" i="5" l="1"/>
  <c r="E107" i="5"/>
  <c r="F107" i="5" l="1"/>
  <c r="G107" i="5" s="1"/>
  <c r="H107" i="5" s="1"/>
  <c r="D108" i="5" l="1"/>
  <c r="E108" i="5"/>
  <c r="F108" i="5" l="1"/>
  <c r="G108" i="5" s="1"/>
  <c r="H108" i="5" s="1"/>
  <c r="D109" i="5" l="1"/>
  <c r="E109" i="5"/>
  <c r="F109" i="5" l="1"/>
  <c r="G109" i="5" s="1"/>
  <c r="H109" i="5" s="1"/>
  <c r="D110" i="5" l="1"/>
  <c r="E110" i="5"/>
  <c r="F110" i="5" l="1"/>
  <c r="G110" i="5" s="1"/>
  <c r="H110" i="5" s="1"/>
  <c r="D111" i="5" l="1"/>
  <c r="E111" i="5"/>
  <c r="F111" i="5" l="1"/>
  <c r="G111" i="5" s="1"/>
  <c r="H111" i="5" s="1"/>
  <c r="E112" i="5" l="1"/>
  <c r="D112" i="5"/>
  <c r="F112" i="5" s="1"/>
  <c r="G112" i="5" s="1"/>
  <c r="H112" i="5" s="1"/>
  <c r="D113" i="5" l="1"/>
  <c r="E113" i="5"/>
  <c r="F113" i="5" l="1"/>
  <c r="G113" i="5" s="1"/>
  <c r="H113" i="5" s="1"/>
  <c r="D114" i="5" l="1"/>
  <c r="E114" i="5"/>
  <c r="F114" i="5" l="1"/>
  <c r="G114" i="5" s="1"/>
  <c r="H114" i="5" s="1"/>
  <c r="D115" i="5" l="1"/>
  <c r="E115" i="5"/>
  <c r="F115" i="5" l="1"/>
  <c r="G115" i="5" s="1"/>
  <c r="H115" i="5" s="1"/>
  <c r="D116" i="5" l="1"/>
  <c r="E116" i="5"/>
  <c r="F116" i="5" l="1"/>
  <c r="G116" i="5" s="1"/>
  <c r="H116" i="5" s="1"/>
  <c r="E117" i="5" s="1"/>
  <c r="D117" i="5" l="1"/>
  <c r="F117" i="5" s="1"/>
  <c r="G117" i="5" s="1"/>
  <c r="H117" i="5" s="1"/>
  <c r="E118" i="5" l="1"/>
  <c r="D118" i="5"/>
  <c r="F118" i="5" l="1"/>
  <c r="G118" i="5" s="1"/>
  <c r="H118" i="5" s="1"/>
  <c r="D119" i="5" l="1"/>
  <c r="E119" i="5"/>
  <c r="F119" i="5" l="1"/>
  <c r="G119" i="5" s="1"/>
  <c r="H119" i="5" s="1"/>
  <c r="D120" i="5" l="1"/>
  <c r="E120" i="5"/>
  <c r="F120" i="5" l="1"/>
  <c r="G120" i="5" s="1"/>
  <c r="H120" i="5" s="1"/>
  <c r="D121" i="5" l="1"/>
  <c r="E121" i="5"/>
  <c r="F121" i="5" l="1"/>
  <c r="G121" i="5" s="1"/>
  <c r="H121" i="5" l="1"/>
  <c r="D122" i="5"/>
  <c r="E122" i="5"/>
  <c r="F122" i="5" l="1"/>
  <c r="G122" i="5" s="1"/>
  <c r="H122" i="5" s="1"/>
  <c r="D123" i="5" l="1"/>
  <c r="E123" i="5"/>
  <c r="F123" i="5" l="1"/>
  <c r="G123" i="5" l="1"/>
  <c r="H123" i="5" s="1"/>
  <c r="E124" i="5" l="1"/>
  <c r="D124" i="5"/>
  <c r="F124" i="5" s="1"/>
  <c r="G124" i="5" s="1"/>
  <c r="H124" i="5" l="1"/>
  <c r="D125" i="5" l="1"/>
  <c r="E125" i="5"/>
  <c r="F125" i="5" l="1"/>
  <c r="G125" i="5" s="1"/>
  <c r="H125" i="5" s="1"/>
  <c r="D126" i="5" s="1"/>
  <c r="E126" i="5"/>
  <c r="F126" i="5" l="1"/>
  <c r="G126" i="5" s="1"/>
  <c r="H126" i="5" s="1"/>
  <c r="D127" i="5" l="1"/>
  <c r="E127" i="5"/>
  <c r="F127" i="5" l="1"/>
  <c r="G127" i="5" s="1"/>
  <c r="H127" i="5" s="1"/>
  <c r="D128" i="5" l="1"/>
  <c r="E128" i="5"/>
  <c r="F128" i="5" l="1"/>
  <c r="G128" i="5" s="1"/>
  <c r="H128" i="5" s="1"/>
  <c r="D129" i="5" s="1"/>
  <c r="E129" i="5" l="1"/>
  <c r="F129" i="5"/>
  <c r="G129" i="5" s="1"/>
  <c r="H129" i="5" s="1"/>
  <c r="D130" i="5" l="1"/>
  <c r="E130" i="5"/>
  <c r="F130" i="5" l="1"/>
  <c r="G130" i="5" s="1"/>
  <c r="H130" i="5" s="1"/>
  <c r="D131" i="5" s="1"/>
  <c r="E131" i="5" l="1"/>
  <c r="F131" i="5"/>
  <c r="G131" i="5" s="1"/>
  <c r="H131" i="5" s="1"/>
  <c r="D132" i="5" l="1"/>
  <c r="E132" i="5"/>
  <c r="F132" i="5" l="1"/>
  <c r="G132" i="5" s="1"/>
  <c r="H132" i="5" s="1"/>
  <c r="D133" i="5" l="1"/>
  <c r="E133" i="5"/>
  <c r="F133" i="5" l="1"/>
  <c r="G133" i="5" s="1"/>
  <c r="H133" i="5" s="1"/>
  <c r="D134" i="5" s="1"/>
  <c r="E134" i="5" l="1"/>
  <c r="F134" i="5"/>
  <c r="G134" i="5" l="1"/>
  <c r="H134" i="5" s="1"/>
  <c r="D135" i="5" l="1"/>
  <c r="E135" i="5"/>
  <c r="F135" i="5" l="1"/>
  <c r="G135" i="5" s="1"/>
  <c r="H135" i="5" s="1"/>
  <c r="D136" i="5" l="1"/>
  <c r="E136" i="5"/>
  <c r="F136" i="5" l="1"/>
  <c r="G136" i="5" s="1"/>
  <c r="H136" i="5" s="1"/>
  <c r="D137" i="5" l="1"/>
  <c r="E137" i="5"/>
  <c r="F137" i="5" l="1"/>
  <c r="G137" i="5" s="1"/>
  <c r="H137" i="5" s="1"/>
  <c r="D138" i="5" l="1"/>
  <c r="E138" i="5"/>
  <c r="F138" i="5" l="1"/>
  <c r="G138" i="5" l="1"/>
  <c r="H138" i="5" s="1"/>
  <c r="D139" i="5" l="1"/>
  <c r="E139" i="5"/>
  <c r="F139" i="5" l="1"/>
  <c r="G139" i="5" s="1"/>
  <c r="H139" i="5" s="1"/>
  <c r="D140" i="5" l="1"/>
  <c r="E140" i="5"/>
  <c r="F140" i="5" l="1"/>
  <c r="G140" i="5" l="1"/>
  <c r="H140" i="5" s="1"/>
  <c r="E141" i="5" l="1"/>
  <c r="D141" i="5"/>
  <c r="F141" i="5" s="1"/>
  <c r="G141" i="5" s="1"/>
  <c r="H141" i="5" l="1"/>
  <c r="D142" i="5" s="1"/>
  <c r="E142" i="5" l="1"/>
  <c r="F142" i="5" s="1"/>
  <c r="G142" i="5" s="1"/>
  <c r="H142" i="5" s="1"/>
  <c r="D143" i="5" l="1"/>
  <c r="E143" i="5"/>
  <c r="F143" i="5" l="1"/>
  <c r="G143" i="5" l="1"/>
  <c r="H143" i="5" s="1"/>
  <c r="E144" i="5" l="1"/>
  <c r="D144" i="5"/>
  <c r="F144" i="5" s="1"/>
  <c r="G144" i="5"/>
  <c r="H144" i="5" s="1"/>
  <c r="D145" i="5" l="1"/>
  <c r="E145" i="5"/>
  <c r="F145" i="5" l="1"/>
  <c r="G145" i="5" s="1"/>
  <c r="H145" i="5" s="1"/>
  <c r="D146" i="5" l="1"/>
  <c r="E146" i="5"/>
  <c r="F146" i="5" l="1"/>
  <c r="G146" i="5" s="1"/>
  <c r="H146" i="5" s="1"/>
  <c r="D147" i="5" l="1"/>
  <c r="E147" i="5"/>
  <c r="F147" i="5" l="1"/>
  <c r="G147" i="5" s="1"/>
  <c r="H147" i="5" s="1"/>
  <c r="D148" i="5" l="1"/>
  <c r="E148" i="5"/>
  <c r="F148" i="5" l="1"/>
  <c r="G148" i="5" s="1"/>
  <c r="H148" i="5" s="1"/>
  <c r="D149" i="5" l="1"/>
  <c r="E149" i="5"/>
  <c r="F149" i="5" l="1"/>
  <c r="G149" i="5" s="1"/>
  <c r="H149" i="5" s="1"/>
  <c r="D150" i="5" l="1"/>
  <c r="E150" i="5"/>
  <c r="F150" i="5" l="1"/>
  <c r="G150" i="5" l="1"/>
  <c r="H150" i="5" s="1"/>
  <c r="E151" i="5" l="1"/>
  <c r="D151" i="5"/>
  <c r="F151" i="5" s="1"/>
  <c r="G151" i="5" s="1"/>
  <c r="H151" i="5" s="1"/>
  <c r="D152" i="5" l="1"/>
  <c r="E152" i="5"/>
  <c r="F152" i="5" l="1"/>
  <c r="G152" i="5" s="1"/>
  <c r="H152" i="5" s="1"/>
  <c r="D153" i="5" l="1"/>
  <c r="E153" i="5"/>
  <c r="F153" i="5" l="1"/>
  <c r="G153" i="5" l="1"/>
  <c r="H153" i="5" s="1"/>
  <c r="D154" i="5" l="1"/>
  <c r="E154" i="5"/>
  <c r="F154" i="5" l="1"/>
  <c r="G154" i="5" l="1"/>
  <c r="H154" i="5"/>
  <c r="D155" i="5" l="1"/>
  <c r="E155" i="5"/>
  <c r="F155" i="5" l="1"/>
  <c r="G155" i="5" s="1"/>
  <c r="H155" i="5" s="1"/>
  <c r="D156" i="5" l="1"/>
  <c r="E156" i="5"/>
  <c r="F156" i="5" l="1"/>
  <c r="G156" i="5" s="1"/>
  <c r="H156" i="5" s="1"/>
  <c r="D157" i="5" l="1"/>
  <c r="E157" i="5"/>
  <c r="F157" i="5" l="1"/>
  <c r="G157" i="5" s="1"/>
  <c r="H157" i="5" s="1"/>
  <c r="D158" i="5" l="1"/>
  <c r="E158" i="5"/>
  <c r="F158" i="5" l="1"/>
  <c r="G158" i="5" s="1"/>
  <c r="H158" i="5" s="1"/>
  <c r="D159" i="5" l="1"/>
  <c r="E159" i="5"/>
  <c r="F159" i="5" l="1"/>
  <c r="G159" i="5" s="1"/>
  <c r="H159" i="5" s="1"/>
  <c r="D160" i="5" l="1"/>
  <c r="E160" i="5"/>
  <c r="F160" i="5" l="1"/>
  <c r="G160" i="5" l="1"/>
  <c r="H160" i="5"/>
  <c r="D161" i="5" l="1"/>
  <c r="E161" i="5"/>
  <c r="F161" i="5" l="1"/>
  <c r="G161" i="5" s="1"/>
  <c r="H161" i="5" s="1"/>
  <c r="D162" i="5" l="1"/>
  <c r="E162" i="5"/>
  <c r="F162" i="5" l="1"/>
  <c r="G162" i="5" s="1"/>
  <c r="H162" i="5" s="1"/>
  <c r="D163" i="5" l="1"/>
  <c r="E163" i="5"/>
  <c r="F163" i="5" l="1"/>
  <c r="G163" i="5" l="1"/>
  <c r="H163" i="5" s="1"/>
  <c r="D164" i="5" l="1"/>
  <c r="E164" i="5"/>
  <c r="F164" i="5" l="1"/>
  <c r="G164" i="5" s="1"/>
  <c r="H164" i="5" s="1"/>
  <c r="D165" i="5" l="1"/>
  <c r="E165" i="5"/>
  <c r="F165" i="5" l="1"/>
  <c r="G165" i="5" l="1"/>
  <c r="H165" i="5" s="1"/>
  <c r="D166" i="5" l="1"/>
  <c r="E166" i="5"/>
  <c r="F166" i="5" l="1"/>
  <c r="G166" i="5" s="1"/>
  <c r="H166" i="5" s="1"/>
  <c r="D167" i="5" l="1"/>
  <c r="E167" i="5"/>
  <c r="F167" i="5" l="1"/>
  <c r="G167" i="5" s="1"/>
  <c r="H167" i="5" s="1"/>
  <c r="D168" i="5" l="1"/>
  <c r="E168" i="5"/>
  <c r="F168" i="5" l="1"/>
  <c r="G168" i="5" s="1"/>
  <c r="H168" i="5" s="1"/>
  <c r="D169" i="5" l="1"/>
  <c r="E169" i="5"/>
  <c r="F169" i="5" l="1"/>
  <c r="G169" i="5" s="1"/>
  <c r="H169" i="5" s="1"/>
  <c r="D170" i="5" s="1"/>
  <c r="E170" i="5" l="1"/>
  <c r="F170" i="5" s="1"/>
  <c r="G170" i="5" s="1"/>
  <c r="H170" i="5" s="1"/>
  <c r="D171" i="5" l="1"/>
  <c r="E171" i="5"/>
  <c r="F171" i="5" l="1"/>
  <c r="G171" i="5" s="1"/>
  <c r="H171" i="5" s="1"/>
  <c r="D172" i="5" l="1"/>
  <c r="E172" i="5"/>
  <c r="F172" i="5" l="1"/>
  <c r="G172" i="5" s="1"/>
  <c r="H172" i="5" s="1"/>
  <c r="D173" i="5" l="1"/>
  <c r="E173" i="5"/>
  <c r="F173" i="5" l="1"/>
  <c r="G173" i="5" s="1"/>
  <c r="H173" i="5" s="1"/>
  <c r="D174" i="5" l="1"/>
  <c r="E174" i="5"/>
  <c r="F174" i="5" l="1"/>
  <c r="G174" i="5" s="1"/>
  <c r="H174" i="5" s="1"/>
  <c r="D175" i="5" l="1"/>
  <c r="E175" i="5"/>
  <c r="F175" i="5" l="1"/>
  <c r="G175" i="5" s="1"/>
  <c r="H175" i="5" s="1"/>
  <c r="D176" i="5" l="1"/>
  <c r="E176" i="5"/>
  <c r="F176" i="5" l="1"/>
  <c r="G176" i="5" s="1"/>
  <c r="H176" i="5"/>
  <c r="D177" i="5" l="1"/>
  <c r="E177" i="5"/>
  <c r="F177" i="5" l="1"/>
  <c r="G177" i="5" l="1"/>
  <c r="H177" i="5" s="1"/>
  <c r="D178" i="5" l="1"/>
  <c r="E178" i="5"/>
  <c r="F178" i="5" l="1"/>
  <c r="G178" i="5" s="1"/>
  <c r="H178" i="5" s="1"/>
  <c r="D179" i="5"/>
  <c r="E179" i="5"/>
  <c r="F179" i="5" l="1"/>
  <c r="G179" i="5" s="1"/>
  <c r="H179" i="5" s="1"/>
  <c r="D180" i="5" l="1"/>
  <c r="E180" i="5"/>
  <c r="F180" i="5" l="1"/>
  <c r="G180" i="5" s="1"/>
  <c r="H180" i="5" s="1"/>
  <c r="D181" i="5" l="1"/>
  <c r="E181" i="5"/>
  <c r="F181" i="5" l="1"/>
  <c r="G181" i="5" s="1"/>
  <c r="H181" i="5" s="1"/>
  <c r="D182" i="5" l="1"/>
  <c r="E182" i="5"/>
  <c r="F182" i="5" l="1"/>
  <c r="G182" i="5" l="1"/>
  <c r="H182" i="5"/>
  <c r="D183" i="5" l="1"/>
  <c r="E183" i="5"/>
  <c r="F183" i="5" l="1"/>
  <c r="G183" i="5" s="1"/>
  <c r="H183" i="5" l="1"/>
  <c r="D184" i="5"/>
  <c r="E184" i="5"/>
  <c r="F184" i="5" l="1"/>
  <c r="G184" i="5" s="1"/>
  <c r="H184" i="5" s="1"/>
  <c r="D185" i="5" s="1"/>
  <c r="E185" i="5"/>
  <c r="F185" i="5" l="1"/>
  <c r="G185" i="5" s="1"/>
  <c r="H185" i="5" s="1"/>
  <c r="D186" i="5" l="1"/>
  <c r="E186" i="5"/>
  <c r="F186" i="5" l="1"/>
  <c r="G186" i="5" s="1"/>
  <c r="H186" i="5" s="1"/>
  <c r="D187" i="5" l="1"/>
  <c r="E187" i="5"/>
  <c r="F187" i="5" l="1"/>
  <c r="G187" i="5" s="1"/>
  <c r="H187" i="5" s="1"/>
  <c r="D188" i="5" l="1"/>
  <c r="E188" i="5"/>
  <c r="F188" i="5" l="1"/>
  <c r="G188" i="5" s="1"/>
  <c r="H188" i="5" s="1"/>
  <c r="D189" i="5" l="1"/>
  <c r="E189" i="5"/>
  <c r="F189" i="5" l="1"/>
  <c r="G189" i="5" s="1"/>
  <c r="H189" i="5" s="1"/>
  <c r="D190" i="5" l="1"/>
  <c r="E190" i="5"/>
  <c r="F190" i="5" l="1"/>
  <c r="G190" i="5" s="1"/>
  <c r="H190" i="5" s="1"/>
  <c r="D191" i="5" l="1"/>
  <c r="E191" i="5"/>
  <c r="F191" i="5" l="1"/>
  <c r="G191" i="5" l="1"/>
  <c r="H191" i="5" s="1"/>
  <c r="D192" i="5" l="1"/>
  <c r="E192" i="5"/>
  <c r="F192" i="5" l="1"/>
  <c r="G192" i="5" s="1"/>
  <c r="H192" i="5" s="1"/>
  <c r="E193" i="5" s="1"/>
  <c r="D193" i="5" l="1"/>
  <c r="F193" i="5"/>
  <c r="G193" i="5" s="1"/>
  <c r="H193" i="5" s="1"/>
  <c r="D194" i="5" l="1"/>
  <c r="E194" i="5"/>
  <c r="F194" i="5" l="1"/>
  <c r="G194" i="5" s="1"/>
  <c r="H194" i="5" s="1"/>
  <c r="D195" i="5" l="1"/>
  <c r="E195" i="5"/>
  <c r="F195" i="5" l="1"/>
  <c r="G195" i="5" s="1"/>
  <c r="H195" i="5" s="1"/>
  <c r="D196" i="5" l="1"/>
  <c r="E196" i="5"/>
  <c r="F196" i="5" l="1"/>
  <c r="G196" i="5" l="1"/>
  <c r="H196" i="5" s="1"/>
  <c r="D197" i="5" s="1"/>
  <c r="E197" i="5" l="1"/>
  <c r="F197" i="5"/>
  <c r="G197" i="5" l="1"/>
  <c r="H197" i="5"/>
  <c r="D198" i="5" l="1"/>
  <c r="E198" i="5"/>
  <c r="F198" i="5" l="1"/>
  <c r="G198" i="5" s="1"/>
  <c r="H198" i="5" s="1"/>
  <c r="D199" i="5" l="1"/>
  <c r="E199" i="5"/>
  <c r="F199" i="5" l="1"/>
  <c r="G199" i="5" l="1"/>
  <c r="H199" i="5" s="1"/>
  <c r="D200" i="5" l="1"/>
  <c r="E200" i="5"/>
  <c r="F200" i="5" l="1"/>
  <c r="G200" i="5" s="1"/>
  <c r="H200" i="5" s="1"/>
  <c r="D201" i="5" s="1"/>
  <c r="E201" i="5" l="1"/>
  <c r="F201" i="5" s="1"/>
  <c r="G201" i="5" s="1"/>
  <c r="H201" i="5" s="1"/>
  <c r="D202" i="5" l="1"/>
  <c r="E202" i="5"/>
  <c r="F202" i="5" l="1"/>
  <c r="G202" i="5" l="1"/>
  <c r="H202" i="5" s="1"/>
  <c r="E203" i="5" l="1"/>
  <c r="D203" i="5"/>
  <c r="F203" i="5" s="1"/>
  <c r="G203" i="5" s="1"/>
  <c r="H203" i="5" s="1"/>
  <c r="E204" i="5" l="1"/>
  <c r="D204" i="5"/>
  <c r="F204" i="5" s="1"/>
  <c r="G204" i="5" s="1"/>
  <c r="H204" i="5" s="1"/>
  <c r="E205" i="5" l="1"/>
  <c r="D205" i="5"/>
  <c r="F205" i="5" s="1"/>
  <c r="G205" i="5" s="1"/>
  <c r="H205" i="5" l="1"/>
  <c r="D206" i="5" l="1"/>
  <c r="E206" i="5"/>
  <c r="F206" i="5" l="1"/>
  <c r="G206" i="5" l="1"/>
  <c r="H206" i="5" s="1"/>
  <c r="D207" i="5" s="1"/>
  <c r="E207" i="5" l="1"/>
  <c r="F207" i="5" s="1"/>
  <c r="G207" i="5" l="1"/>
  <c r="H207" i="5" s="1"/>
  <c r="D208" i="5" l="1"/>
  <c r="E208" i="5"/>
  <c r="F208" i="5" l="1"/>
  <c r="G208" i="5" s="1"/>
  <c r="H208" i="5" s="1"/>
  <c r="D209" i="5" l="1"/>
  <c r="E209" i="5"/>
  <c r="F209" i="5" l="1"/>
  <c r="G209" i="5"/>
  <c r="H209" i="5" s="1"/>
  <c r="D210" i="5" l="1"/>
  <c r="E210" i="5"/>
  <c r="F210" i="5" l="1"/>
  <c r="G210" i="5" l="1"/>
  <c r="H210" i="5" s="1"/>
  <c r="E211" i="5" l="1"/>
  <c r="D211" i="5"/>
  <c r="F211" i="5"/>
  <c r="G211" i="5" l="1"/>
  <c r="H211" i="5" s="1"/>
  <c r="D212" i="5" l="1"/>
  <c r="E212" i="5"/>
  <c r="F212" i="5"/>
  <c r="G212" i="5" l="1"/>
  <c r="H212" i="5" s="1"/>
  <c r="E213" i="5" l="1"/>
  <c r="D213" i="5"/>
  <c r="F213" i="5"/>
  <c r="G213" i="5" l="1"/>
  <c r="H213" i="5" s="1"/>
  <c r="D214" i="5" l="1"/>
  <c r="E214" i="5"/>
  <c r="F214" i="5" s="1"/>
  <c r="G214" i="5" s="1"/>
  <c r="H214" i="5" l="1"/>
  <c r="D215" i="5" s="1"/>
  <c r="E215" i="5"/>
  <c r="F215" i="5" l="1"/>
  <c r="G215" i="5" s="1"/>
  <c r="H215" i="5" s="1"/>
  <c r="D216" i="5" l="1"/>
  <c r="E216" i="5"/>
  <c r="F216" i="5" l="1"/>
  <c r="G216" i="5" l="1"/>
  <c r="H216" i="5" s="1"/>
  <c r="D217" i="5" l="1"/>
  <c r="E217" i="5"/>
  <c r="F217" i="5" l="1"/>
  <c r="G217" i="5" l="1"/>
  <c r="H217" i="5" s="1"/>
  <c r="D218" i="5" l="1"/>
  <c r="E218" i="5"/>
  <c r="F218" i="5"/>
  <c r="G218" i="5" l="1"/>
  <c r="H218" i="5" s="1"/>
  <c r="D219" i="5" l="1"/>
  <c r="E219" i="5"/>
  <c r="F219" i="5" l="1"/>
  <c r="G219" i="5" l="1"/>
  <c r="H219" i="5"/>
  <c r="D220" i="5" l="1"/>
  <c r="E220" i="5"/>
  <c r="F220" i="5" l="1"/>
  <c r="G220" i="5" s="1"/>
  <c r="H220" i="5" s="1"/>
  <c r="E221" i="5" l="1"/>
  <c r="D221" i="5"/>
  <c r="F221" i="5" l="1"/>
  <c r="G221" i="5" s="1"/>
  <c r="H221" i="5" s="1"/>
  <c r="E222" i="5" s="1"/>
  <c r="D222" i="5"/>
  <c r="F222" i="5" s="1"/>
  <c r="G222" i="5" s="1"/>
  <c r="H222" i="5" s="1"/>
  <c r="D223" i="5" l="1"/>
  <c r="E223" i="5"/>
  <c r="F223" i="5" l="1"/>
  <c r="G223" i="5" l="1"/>
  <c r="H223" i="5" s="1"/>
  <c r="D224" i="5" s="1"/>
  <c r="E224" i="5" l="1"/>
  <c r="F224" i="5"/>
  <c r="G224" i="5" l="1"/>
  <c r="H224" i="5" s="1"/>
  <c r="D225" i="5" l="1"/>
  <c r="E225" i="5"/>
  <c r="F225" i="5"/>
  <c r="G225" i="5" l="1"/>
  <c r="H225" i="5" s="1"/>
  <c r="D226" i="5" l="1"/>
  <c r="E226" i="5"/>
  <c r="F226" i="5"/>
  <c r="G226" i="5" l="1"/>
  <c r="H226" i="5" s="1"/>
  <c r="E227" i="5" l="1"/>
  <c r="D227" i="5"/>
  <c r="F227" i="5"/>
  <c r="G227" i="5" l="1"/>
  <c r="H227" i="5" s="1"/>
  <c r="D228" i="5" l="1"/>
  <c r="E228" i="5"/>
  <c r="F228" i="5" l="1"/>
  <c r="G228" i="5" l="1"/>
  <c r="H228" i="5"/>
  <c r="D229" i="5" l="1"/>
  <c r="E229" i="5"/>
  <c r="F229" i="5" l="1"/>
  <c r="G229" i="5" s="1"/>
  <c r="H229" i="5"/>
  <c r="D230" i="5" l="1"/>
  <c r="E230" i="5"/>
  <c r="F230" i="5" l="1"/>
  <c r="G230" i="5" s="1"/>
  <c r="H230" i="5"/>
  <c r="D231" i="5" l="1"/>
  <c r="E231" i="5"/>
  <c r="F231" i="5" l="1"/>
  <c r="G231" i="5" s="1"/>
  <c r="H231" i="5"/>
  <c r="E232" i="5" l="1"/>
  <c r="D232" i="5"/>
  <c r="F232" i="5" s="1"/>
  <c r="G232" i="5" s="1"/>
  <c r="H232" i="5" l="1"/>
  <c r="D233" i="5" l="1"/>
  <c r="E233" i="5"/>
  <c r="F233" i="5" l="1"/>
  <c r="G233" i="5" s="1"/>
  <c r="H233" i="5" l="1"/>
  <c r="E234" i="5" l="1"/>
  <c r="D234" i="5"/>
  <c r="F234" i="5" s="1"/>
  <c r="G234" i="5" l="1"/>
  <c r="H234" i="5" s="1"/>
  <c r="D235" i="5" l="1"/>
  <c r="E235" i="5"/>
  <c r="F235" i="5" l="1"/>
  <c r="G235" i="5" s="1"/>
  <c r="H235" i="5" s="1"/>
  <c r="E236" i="5" s="1"/>
  <c r="D236" i="5" l="1"/>
  <c r="F236" i="5" s="1"/>
  <c r="G236" i="5" l="1"/>
  <c r="H236" i="5" s="1"/>
  <c r="E237" i="5" l="1"/>
  <c r="D237" i="5"/>
  <c r="F237" i="5" s="1"/>
  <c r="G237" i="5"/>
  <c r="H237" i="5" s="1"/>
  <c r="E238" i="5" l="1"/>
  <c r="D238" i="5"/>
  <c r="F238" i="5" s="1"/>
  <c r="G238" i="5" l="1"/>
  <c r="H238" i="5" s="1"/>
  <c r="D239" i="5" l="1"/>
  <c r="E239" i="5"/>
  <c r="F239" i="5" l="1"/>
  <c r="G239" i="5" s="1"/>
  <c r="H239" i="5" s="1"/>
  <c r="E240" i="5" l="1"/>
  <c r="D240" i="5"/>
  <c r="F240" i="5" l="1"/>
  <c r="G240" i="5" s="1"/>
  <c r="H240" i="5" s="1"/>
  <c r="E241" i="5" s="1"/>
  <c r="D241" i="5" l="1"/>
  <c r="F241" i="5" s="1"/>
  <c r="G241" i="5" s="1"/>
  <c r="H241" i="5"/>
  <c r="D242" i="5" l="1"/>
  <c r="E242" i="5"/>
  <c r="F242" i="5" l="1"/>
  <c r="G242" i="5" s="1"/>
  <c r="H242" i="5" l="1"/>
  <c r="D243" i="5" s="1"/>
  <c r="E243" i="5"/>
  <c r="F243" i="5" l="1"/>
  <c r="G243" i="5" s="1"/>
  <c r="H243" i="5" s="1"/>
  <c r="D244" i="5" s="1"/>
  <c r="E244" i="5" l="1"/>
  <c r="F244" i="5"/>
  <c r="G244" i="5" l="1"/>
  <c r="H244" i="5" s="1"/>
  <c r="E245" i="5" l="1"/>
  <c r="D245" i="5"/>
  <c r="F245" i="5" s="1"/>
  <c r="G245" i="5" l="1"/>
  <c r="H245" i="5" s="1"/>
  <c r="D246" i="5" l="1"/>
  <c r="E246" i="5"/>
  <c r="F246" i="5" l="1"/>
  <c r="G246" i="5" s="1"/>
  <c r="H246" i="5" s="1"/>
  <c r="D247" i="5" s="1"/>
  <c r="E247" i="5" l="1"/>
  <c r="F247" i="5"/>
  <c r="G247" i="5" l="1"/>
  <c r="H247" i="5" s="1"/>
  <c r="D248" i="5" l="1"/>
  <c r="E248" i="5"/>
  <c r="F248" i="5" l="1"/>
  <c r="G248" i="5" s="1"/>
  <c r="H248" i="5" s="1"/>
  <c r="D249" i="5" l="1"/>
  <c r="E249" i="5"/>
  <c r="F249" i="5" l="1"/>
  <c r="G249" i="5" s="1"/>
  <c r="H249" i="5" s="1"/>
  <c r="D250" i="5"/>
  <c r="E250" i="5"/>
  <c r="F250" i="5" l="1"/>
  <c r="G250" i="5" l="1"/>
  <c r="H250" i="5" s="1"/>
  <c r="D251" i="5" l="1"/>
  <c r="E251" i="5"/>
  <c r="F251" i="5" l="1"/>
  <c r="G251" i="5" s="1"/>
  <c r="H251" i="5" s="1"/>
  <c r="E252" i="5" l="1"/>
  <c r="D252" i="5"/>
  <c r="F252" i="5" s="1"/>
  <c r="G252" i="5" s="1"/>
  <c r="H252" i="5" s="1"/>
  <c r="D253" i="5" l="1"/>
  <c r="E253" i="5"/>
  <c r="F253" i="5" l="1"/>
  <c r="G253" i="5" l="1"/>
  <c r="H253" i="5" s="1"/>
  <c r="D254" i="5" l="1"/>
  <c r="E254" i="5"/>
  <c r="F254" i="5" l="1"/>
  <c r="G254" i="5" s="1"/>
  <c r="H254" i="5" s="1"/>
  <c r="E255" i="5" l="1"/>
  <c r="D255" i="5"/>
  <c r="F255" i="5" s="1"/>
  <c r="G255" i="5" l="1"/>
  <c r="H255" i="5" s="1"/>
  <c r="E256" i="5" l="1"/>
  <c r="D256" i="5"/>
  <c r="F256" i="5" s="1"/>
  <c r="G256" i="5" s="1"/>
  <c r="H256" i="5" l="1"/>
  <c r="E257" i="5" l="1"/>
  <c r="D257" i="5"/>
  <c r="F257" i="5" s="1"/>
  <c r="G257" i="5" l="1"/>
  <c r="H257" i="5" s="1"/>
  <c r="D258" i="5" l="1"/>
  <c r="E258" i="5"/>
  <c r="F258" i="5" l="1"/>
  <c r="G258" i="5" l="1"/>
  <c r="H258" i="5" s="1"/>
  <c r="E259" i="5" l="1"/>
  <c r="D259" i="5"/>
  <c r="F259" i="5" s="1"/>
  <c r="G259" i="5" s="1"/>
  <c r="H259" i="5" s="1"/>
  <c r="D260" i="5" l="1"/>
  <c r="E260" i="5"/>
  <c r="F260" i="5" l="1"/>
  <c r="G260" i="5" l="1"/>
  <c r="H260" i="5" s="1"/>
  <c r="E261" i="5" l="1"/>
  <c r="D261" i="5"/>
  <c r="F261" i="5" l="1"/>
  <c r="G261" i="5" s="1"/>
  <c r="H261" i="5" s="1"/>
  <c r="D262" i="5"/>
  <c r="E262" i="5"/>
  <c r="F262" i="5" l="1"/>
  <c r="G262" i="5" l="1"/>
  <c r="H262" i="5" s="1"/>
  <c r="D263" i="5" l="1"/>
  <c r="E263" i="5"/>
  <c r="F263" i="5" l="1"/>
  <c r="G263" i="5" s="1"/>
  <c r="H263" i="5" s="1"/>
  <c r="D264" i="5" l="1"/>
  <c r="E264" i="5"/>
  <c r="F264" i="5" l="1"/>
  <c r="G264" i="5" l="1"/>
  <c r="H264" i="5" s="1"/>
  <c r="E265" i="5" l="1"/>
  <c r="D265" i="5"/>
  <c r="F265" i="5" s="1"/>
  <c r="G265" i="5" s="1"/>
  <c r="H265" i="5" s="1"/>
  <c r="D266" i="5" l="1"/>
  <c r="E266" i="5"/>
  <c r="F266" i="5" l="1"/>
  <c r="G266" i="5" s="1"/>
  <c r="H266" i="5" s="1"/>
  <c r="D267" i="5" l="1"/>
  <c r="E267" i="5"/>
  <c r="F267" i="5" l="1"/>
  <c r="G267" i="5" l="1"/>
  <c r="H267" i="5" s="1"/>
  <c r="D268" i="5" l="1"/>
  <c r="E268" i="5"/>
  <c r="F268" i="5" l="1"/>
  <c r="G268" i="5" l="1"/>
  <c r="H268" i="5" s="1"/>
  <c r="D269" i="5" l="1"/>
  <c r="E269" i="5"/>
  <c r="F269" i="5" l="1"/>
  <c r="G269" i="5" s="1"/>
  <c r="H269" i="5" s="1"/>
  <c r="D270" i="5" l="1"/>
  <c r="E270" i="5"/>
  <c r="F270" i="5" l="1"/>
  <c r="G270" i="5" l="1"/>
  <c r="H270" i="5"/>
  <c r="D271" i="5" l="1"/>
  <c r="E271" i="5"/>
  <c r="F271" i="5" l="1"/>
  <c r="G271" i="5" s="1"/>
  <c r="H271" i="5" s="1"/>
  <c r="D272" i="5" l="1"/>
  <c r="E272" i="5"/>
  <c r="F272" i="5" l="1"/>
  <c r="G272" i="5" s="1"/>
  <c r="H272" i="5" s="1"/>
  <c r="E273" i="5" s="1"/>
  <c r="D273" i="5" l="1"/>
  <c r="F273" i="5" s="1"/>
  <c r="G273" i="5" s="1"/>
  <c r="H273" i="5" s="1"/>
  <c r="E274" i="5" s="1"/>
  <c r="D274" i="5" l="1"/>
  <c r="F274" i="5" s="1"/>
  <c r="G274" i="5" s="1"/>
  <c r="H274" i="5" s="1"/>
  <c r="D275" i="5" l="1"/>
  <c r="E275" i="5"/>
  <c r="F275" i="5" l="1"/>
  <c r="G275" i="5" l="1"/>
  <c r="H275" i="5" s="1"/>
  <c r="E276" i="5" l="1"/>
  <c r="D276" i="5"/>
  <c r="F276" i="5" l="1"/>
  <c r="G276" i="5"/>
  <c r="H276" i="5" s="1"/>
  <c r="D277" i="5" l="1"/>
  <c r="E277" i="5"/>
  <c r="F277" i="5" l="1"/>
  <c r="G277" i="5" l="1"/>
  <c r="H277" i="5" s="1"/>
  <c r="D278" i="5" l="1"/>
  <c r="E278" i="5"/>
  <c r="F278" i="5" l="1"/>
  <c r="G278" i="5" s="1"/>
  <c r="H278" i="5" s="1"/>
  <c r="D279" i="5" l="1"/>
  <c r="E279" i="5"/>
  <c r="F279" i="5" l="1"/>
  <c r="G279" i="5" l="1"/>
  <c r="H279" i="5"/>
  <c r="E280" i="5" l="1"/>
  <c r="D280" i="5"/>
  <c r="F280" i="5" s="1"/>
  <c r="G280" i="5" s="1"/>
  <c r="H280" i="5" l="1"/>
  <c r="D281" i="5" l="1"/>
  <c r="E281" i="5"/>
  <c r="F281" i="5" l="1"/>
  <c r="G281" i="5" l="1"/>
  <c r="H281" i="5" s="1"/>
  <c r="D282" i="5" l="1"/>
  <c r="E282" i="5"/>
  <c r="F282" i="5" l="1"/>
  <c r="G282" i="5" l="1"/>
  <c r="H282" i="5" s="1"/>
  <c r="E283" i="5" l="1"/>
  <c r="D283" i="5"/>
  <c r="F283" i="5" s="1"/>
  <c r="G283" i="5" s="1"/>
  <c r="H283" i="5" l="1"/>
  <c r="D284" i="5" l="1"/>
  <c r="E284" i="5"/>
  <c r="F284" i="5" l="1"/>
  <c r="G284" i="5" l="1"/>
  <c r="H284" i="5"/>
  <c r="D285" i="5" l="1"/>
  <c r="E285" i="5"/>
  <c r="F285" i="5" l="1"/>
  <c r="G285" i="5" l="1"/>
  <c r="H285" i="5" s="1"/>
  <c r="D286" i="5" l="1"/>
  <c r="E286" i="5"/>
  <c r="F286" i="5" l="1"/>
  <c r="G286" i="5" l="1"/>
  <c r="H286" i="5" s="1"/>
  <c r="D287" i="5" l="1"/>
  <c r="E287" i="5"/>
  <c r="F287" i="5" l="1"/>
  <c r="G287" i="5" l="1"/>
  <c r="H287" i="5" s="1"/>
  <c r="D288" i="5" l="1"/>
  <c r="E288" i="5"/>
  <c r="F288" i="5" l="1"/>
  <c r="G288" i="5" l="1"/>
  <c r="H288" i="5" s="1"/>
  <c r="D289" i="5" l="1"/>
  <c r="E289" i="5"/>
  <c r="F289" i="5" l="1"/>
  <c r="G289" i="5" l="1"/>
  <c r="H289" i="5" s="1"/>
  <c r="D290" i="5" l="1"/>
  <c r="E290" i="5"/>
  <c r="F290" i="5" l="1"/>
  <c r="G290" i="5" l="1"/>
  <c r="H290" i="5" s="1"/>
  <c r="D291" i="5" l="1"/>
  <c r="E291" i="5"/>
  <c r="F291" i="5" l="1"/>
  <c r="G291" i="5" s="1"/>
  <c r="H291" i="5" s="1"/>
  <c r="E292" i="5" l="1"/>
  <c r="D292" i="5"/>
  <c r="F292" i="5" s="1"/>
  <c r="G292" i="5" s="1"/>
  <c r="H292" i="5" s="1"/>
  <c r="D293" i="5" l="1"/>
  <c r="E293" i="5"/>
  <c r="F293" i="5" l="1"/>
  <c r="G293" i="5" l="1"/>
  <c r="H293" i="5" s="1"/>
  <c r="E294" i="5" l="1"/>
  <c r="D294" i="5"/>
  <c r="F294" i="5" l="1"/>
  <c r="G294" i="5"/>
  <c r="H294" i="5" s="1"/>
  <c r="D295" i="5" l="1"/>
  <c r="E295" i="5"/>
  <c r="F295" i="5" l="1"/>
  <c r="G295" i="5" l="1"/>
  <c r="H295" i="5" s="1"/>
  <c r="E296" i="5" l="1"/>
  <c r="D296" i="5"/>
  <c r="F296" i="5" s="1"/>
  <c r="G296" i="5" l="1"/>
  <c r="H296" i="5" s="1"/>
  <c r="D297" i="5" l="1"/>
  <c r="E297" i="5"/>
  <c r="F297" i="5" l="1"/>
  <c r="G297" i="5" l="1"/>
  <c r="H297" i="5" s="1"/>
  <c r="E298" i="5" l="1"/>
  <c r="D298" i="5"/>
  <c r="F298" i="5" s="1"/>
  <c r="G298" i="5" s="1"/>
  <c r="H298" i="5" l="1"/>
  <c r="D299" i="5" l="1"/>
  <c r="E299" i="5"/>
  <c r="F299" i="5" l="1"/>
  <c r="G299" i="5"/>
  <c r="H299" i="5" s="1"/>
  <c r="E300" i="5" l="1"/>
  <c r="D300" i="5"/>
  <c r="F300" i="5" l="1"/>
  <c r="G300" i="5"/>
  <c r="H300" i="5" s="1"/>
  <c r="D301" i="5" l="1"/>
  <c r="E301" i="5"/>
  <c r="G301" i="5"/>
  <c r="F301" i="5" l="1"/>
  <c r="H301" i="5" s="1"/>
  <c r="D302" i="5" l="1"/>
  <c r="E302" i="5"/>
  <c r="G302" i="5"/>
  <c r="F302" i="5" l="1"/>
  <c r="H302" i="5" s="1"/>
  <c r="E303" i="5" l="1"/>
  <c r="D303" i="5"/>
  <c r="F303" i="5" s="1"/>
  <c r="H303" i="5" s="1"/>
  <c r="G303" i="5"/>
  <c r="D304" i="5" l="1"/>
  <c r="E304" i="5"/>
  <c r="F304" i="5" l="1"/>
  <c r="G304" i="5" l="1"/>
  <c r="H304" i="5" s="1"/>
  <c r="D305" i="5" l="1"/>
  <c r="E305" i="5"/>
  <c r="F305" i="5"/>
  <c r="G305" i="5" l="1"/>
  <c r="H305" i="5" s="1"/>
  <c r="E306" i="5" l="1"/>
  <c r="D306" i="5"/>
  <c r="F306" i="5" l="1"/>
  <c r="G306" i="5" s="1"/>
  <c r="H306" i="5"/>
  <c r="E307" i="5" l="1"/>
  <c r="D307" i="5"/>
  <c r="F307" i="5" s="1"/>
  <c r="G307" i="5"/>
  <c r="H307" i="5" l="1"/>
  <c r="D308" i="5" l="1"/>
  <c r="E308" i="5"/>
  <c r="F308" i="5" l="1"/>
  <c r="G308" i="5" l="1"/>
  <c r="H308" i="5" s="1"/>
  <c r="D309" i="5" l="1"/>
  <c r="E309" i="5"/>
  <c r="F309" i="5" l="1"/>
  <c r="G309" i="5" s="1"/>
  <c r="H309" i="5" s="1"/>
  <c r="D310" i="5"/>
  <c r="E310" i="5"/>
  <c r="F310" i="5" l="1"/>
  <c r="G310" i="5" l="1"/>
  <c r="H310" i="5" s="1"/>
  <c r="D311" i="5" l="1"/>
  <c r="E311" i="5"/>
  <c r="F311" i="5" l="1"/>
  <c r="G311" i="5" l="1"/>
  <c r="H311" i="5" s="1"/>
  <c r="D312" i="5" l="1"/>
  <c r="E312" i="5"/>
  <c r="F312" i="5" l="1"/>
  <c r="G312" i="5" l="1"/>
  <c r="H312" i="5"/>
  <c r="D313" i="5" l="1"/>
  <c r="E313" i="5"/>
  <c r="F313" i="5" l="1"/>
  <c r="G313" i="5" s="1"/>
  <c r="H313" i="5" l="1"/>
  <c r="D314" i="5" s="1"/>
  <c r="E314" i="5"/>
  <c r="F314" i="5" l="1"/>
  <c r="G314" i="5" l="1"/>
  <c r="H314" i="5" s="1"/>
  <c r="D315" i="5" l="1"/>
  <c r="E315" i="5"/>
  <c r="F315" i="5" l="1"/>
  <c r="G315" i="5" l="1"/>
  <c r="H315" i="5" s="1"/>
  <c r="D316" i="5" l="1"/>
  <c r="E316" i="5"/>
  <c r="F316" i="5" l="1"/>
  <c r="G316" i="5" l="1"/>
  <c r="H316" i="5" s="1"/>
  <c r="D317" i="5" l="1"/>
  <c r="E317" i="5"/>
  <c r="F317" i="5" l="1"/>
  <c r="G317" i="5" l="1"/>
  <c r="H317" i="5" s="1"/>
  <c r="D318" i="5" l="1"/>
  <c r="E318" i="5"/>
  <c r="F318" i="5" l="1"/>
  <c r="G318" i="5" l="1"/>
  <c r="H318" i="5" s="1"/>
  <c r="D319" i="5" l="1"/>
  <c r="E319" i="5"/>
  <c r="F319" i="5" l="1"/>
  <c r="G319" i="5" l="1"/>
  <c r="H319" i="5" s="1"/>
  <c r="D320" i="5" l="1"/>
  <c r="E320" i="5"/>
  <c r="F320" i="5" l="1"/>
  <c r="G320" i="5" l="1"/>
  <c r="H320" i="5" s="1"/>
  <c r="D321" i="5" l="1"/>
  <c r="E321" i="5"/>
  <c r="F321" i="5" l="1"/>
  <c r="G321" i="5" l="1"/>
  <c r="H321" i="5" s="1"/>
  <c r="E322" i="5" l="1"/>
  <c r="D322" i="5"/>
  <c r="F322" i="5" s="1"/>
  <c r="G322" i="5" l="1"/>
  <c r="H322" i="5" s="1"/>
  <c r="D323" i="5" l="1"/>
  <c r="E323" i="5"/>
  <c r="F323" i="5" l="1"/>
  <c r="G323" i="5" l="1"/>
  <c r="H323" i="5" s="1"/>
  <c r="D324" i="5" l="1"/>
  <c r="E324" i="5"/>
  <c r="F324" i="5" l="1"/>
  <c r="G324" i="5" l="1"/>
  <c r="H324" i="5" s="1"/>
  <c r="D325" i="5" l="1"/>
  <c r="E325" i="5"/>
  <c r="F325" i="5" l="1"/>
  <c r="G325" i="5" l="1"/>
  <c r="H325" i="5" s="1"/>
  <c r="E326" i="5" l="1"/>
  <c r="D326" i="5"/>
  <c r="F326" i="5" s="1"/>
  <c r="G326" i="5"/>
  <c r="H326" i="5" l="1"/>
  <c r="D327" i="5" l="1"/>
  <c r="E327" i="5"/>
  <c r="F327" i="5" l="1"/>
  <c r="G327" i="5" l="1"/>
  <c r="H327" i="5" s="1"/>
  <c r="D328" i="5" l="1"/>
  <c r="E328" i="5"/>
  <c r="F328" i="5" l="1"/>
  <c r="G328" i="5" l="1"/>
  <c r="H328" i="5" s="1"/>
  <c r="D329" i="5" l="1"/>
  <c r="E329" i="5"/>
  <c r="F329" i="5" l="1"/>
  <c r="G329" i="5" l="1"/>
  <c r="H329" i="5" s="1"/>
  <c r="D330" i="5" l="1"/>
  <c r="E330" i="5"/>
  <c r="F330" i="5" l="1"/>
  <c r="G330" i="5" l="1"/>
  <c r="H330" i="5" s="1"/>
  <c r="E331" i="5" l="1"/>
  <c r="D331" i="5"/>
  <c r="F331" i="5" s="1"/>
  <c r="G331" i="5"/>
  <c r="H331" i="5" s="1"/>
  <c r="D332" i="5" l="1"/>
  <c r="E332" i="5"/>
  <c r="F332" i="5" l="1"/>
  <c r="G332" i="5" l="1"/>
  <c r="H332" i="5" s="1"/>
  <c r="D333" i="5" l="1"/>
  <c r="E333" i="5"/>
  <c r="F333" i="5" l="1"/>
  <c r="G333" i="5" l="1"/>
  <c r="H333" i="5" s="1"/>
  <c r="D334" i="5" l="1"/>
  <c r="E334" i="5"/>
  <c r="F334" i="5" l="1"/>
  <c r="G334" i="5" s="1"/>
  <c r="H334" i="5" l="1"/>
  <c r="D335" i="5"/>
  <c r="E335" i="5"/>
  <c r="F335" i="5" l="1"/>
  <c r="G335" i="5" s="1"/>
  <c r="H335" i="5"/>
  <c r="E336" i="5" l="1"/>
  <c r="D336" i="5"/>
  <c r="F336" i="5" s="1"/>
  <c r="G336" i="5" l="1"/>
  <c r="H336" i="5" s="1"/>
  <c r="E337" i="5" l="1"/>
  <c r="D337" i="5"/>
  <c r="F337" i="5" s="1"/>
  <c r="G337" i="5" s="1"/>
  <c r="H337" i="5" l="1"/>
  <c r="D338" i="5" l="1"/>
  <c r="E338" i="5"/>
  <c r="F338" i="5" l="1"/>
  <c r="G338" i="5" s="1"/>
  <c r="H338" i="5" l="1"/>
  <c r="E339" i="5"/>
  <c r="D339" i="5"/>
  <c r="F339" i="5" l="1"/>
  <c r="G339" i="5" l="1"/>
  <c r="H339" i="5" s="1"/>
  <c r="E340" i="5" l="1"/>
  <c r="D340" i="5"/>
  <c r="F340" i="5" s="1"/>
  <c r="G340" i="5" s="1"/>
  <c r="H340" i="5" l="1"/>
  <c r="D341" i="5" l="1"/>
  <c r="E341" i="5"/>
  <c r="F341" i="5" l="1"/>
  <c r="G341" i="5" s="1"/>
  <c r="H341" i="5" s="1"/>
  <c r="D342" i="5" l="1"/>
  <c r="E342" i="5"/>
  <c r="F342" i="5" l="1"/>
  <c r="G342" i="5" l="1"/>
  <c r="H342" i="5" s="1"/>
  <c r="D343" i="5" l="1"/>
  <c r="E343" i="5"/>
  <c r="F343" i="5" l="1"/>
  <c r="G343" i="5" l="1"/>
  <c r="H343" i="5" s="1"/>
  <c r="E344" i="5" l="1"/>
  <c r="D344" i="5"/>
  <c r="F344" i="5" s="1"/>
  <c r="G344" i="5" l="1"/>
  <c r="H344" i="5" s="1"/>
  <c r="D345" i="5" l="1"/>
  <c r="E345" i="5"/>
  <c r="F345" i="5" l="1"/>
  <c r="G345" i="5" l="1"/>
  <c r="H345" i="5" s="1"/>
  <c r="D346" i="5" l="1"/>
  <c r="E346" i="5"/>
  <c r="F346" i="5" l="1"/>
  <c r="G346" i="5" l="1"/>
  <c r="H346" i="5" s="1"/>
  <c r="D347" i="5" l="1"/>
  <c r="E347" i="5"/>
  <c r="F347" i="5" l="1"/>
  <c r="G347" i="5" l="1"/>
  <c r="H347" i="5" s="1"/>
  <c r="D348" i="5" l="1"/>
  <c r="E348" i="5"/>
  <c r="F348" i="5" l="1"/>
  <c r="G348" i="5" s="1"/>
  <c r="H348" i="5"/>
  <c r="D349" i="5" l="1"/>
  <c r="E349" i="5"/>
  <c r="F349" i="5" l="1"/>
  <c r="G349" i="5" l="1"/>
  <c r="H349" i="5" s="1"/>
  <c r="D350" i="5" l="1"/>
  <c r="E350" i="5"/>
  <c r="F350" i="5" l="1"/>
  <c r="G350" i="5" l="1"/>
  <c r="H350" i="5" s="1"/>
  <c r="E351" i="5" l="1"/>
  <c r="D351" i="5"/>
  <c r="F351" i="5" s="1"/>
  <c r="G351" i="5" s="1"/>
  <c r="H351" i="5" l="1"/>
  <c r="D352" i="5" l="1"/>
  <c r="E352" i="5"/>
  <c r="F352" i="5" l="1"/>
  <c r="G352" i="5" l="1"/>
  <c r="H352" i="5" s="1"/>
  <c r="D353" i="5" l="1"/>
  <c r="E353" i="5"/>
  <c r="F353" i="5" l="1"/>
  <c r="G353" i="5" l="1"/>
  <c r="H353" i="5" s="1"/>
  <c r="D354" i="5" l="1"/>
  <c r="E354" i="5"/>
  <c r="F354" i="5" l="1"/>
  <c r="G354" i="5" l="1"/>
  <c r="H354" i="5" s="1"/>
  <c r="D355" i="5" l="1"/>
  <c r="E355" i="5"/>
  <c r="F355" i="5" l="1"/>
  <c r="G355" i="5" l="1"/>
  <c r="H355" i="5" s="1"/>
  <c r="E356" i="5" l="1"/>
  <c r="D356" i="5"/>
  <c r="F356" i="5" s="1"/>
  <c r="G356" i="5" l="1"/>
  <c r="H356" i="5" s="1"/>
  <c r="D357" i="5" l="1"/>
  <c r="E357" i="5"/>
  <c r="F357" i="5" l="1"/>
  <c r="G357" i="5" l="1"/>
  <c r="H357" i="5" s="1"/>
  <c r="D358" i="5" l="1"/>
  <c r="E358" i="5"/>
  <c r="F358" i="5" l="1"/>
  <c r="G358" i="5" l="1"/>
  <c r="H358" i="5" s="1"/>
  <c r="D359" i="5" l="1"/>
  <c r="E359" i="5"/>
  <c r="F359" i="5" l="1"/>
  <c r="G359" i="5" l="1"/>
  <c r="H359" i="5" s="1"/>
  <c r="E360" i="5" l="1"/>
  <c r="D360" i="5"/>
  <c r="F360" i="5" s="1"/>
  <c r="G360" i="5" l="1"/>
  <c r="H360" i="5" s="1"/>
  <c r="D361" i="5" l="1"/>
  <c r="E361" i="5"/>
  <c r="F361" i="5" l="1"/>
  <c r="G361" i="5" l="1"/>
  <c r="H361" i="5" s="1"/>
  <c r="E362" i="5" l="1"/>
  <c r="D362" i="5"/>
  <c r="F362" i="5" s="1"/>
  <c r="G362" i="5" s="1"/>
  <c r="H362" i="5" s="1"/>
  <c r="D363" i="5" l="1"/>
  <c r="E363" i="5"/>
  <c r="F363" i="5" l="1"/>
  <c r="G363" i="5" s="1"/>
  <c r="H363" i="5" l="1"/>
  <c r="D364" i="5"/>
  <c r="E364" i="5"/>
  <c r="F364" i="5" l="1"/>
  <c r="G364" i="5" l="1"/>
  <c r="H364" i="5" s="1"/>
  <c r="E365" i="5" l="1"/>
  <c r="D365" i="5"/>
  <c r="F365" i="5" s="1"/>
  <c r="G365" i="5"/>
  <c r="H365" i="5" l="1"/>
  <c r="D366" i="5"/>
  <c r="E366" i="5"/>
  <c r="F366" i="5" l="1"/>
  <c r="G366" i="5" s="1"/>
  <c r="H366" i="5" s="1"/>
  <c r="D367" i="5" l="1"/>
  <c r="E367" i="5"/>
  <c r="F367" i="5" l="1"/>
  <c r="G367" i="5" l="1"/>
  <c r="H367" i="5" s="1"/>
  <c r="D368" i="5" l="1"/>
  <c r="E368" i="5"/>
  <c r="F368" i="5" l="1"/>
  <c r="G368" i="5"/>
  <c r="H368" i="5" l="1"/>
  <c r="D369" i="5" s="1"/>
  <c r="E369" i="5" l="1"/>
  <c r="F369" i="5"/>
  <c r="G369" i="5" l="1"/>
  <c r="H369" i="5" s="1"/>
  <c r="D370" i="5" l="1"/>
  <c r="E370" i="5"/>
  <c r="F370" i="5" l="1"/>
  <c r="G370" i="5" l="1"/>
  <c r="H370" i="5" s="1"/>
  <c r="E371" i="5" l="1"/>
  <c r="D371" i="5"/>
  <c r="F371" i="5" s="1"/>
  <c r="G371" i="5" l="1"/>
  <c r="H371" i="5" s="1"/>
  <c r="D372" i="5" l="1"/>
  <c r="E372" i="5"/>
  <c r="F372" i="5" l="1"/>
  <c r="G372" i="5" s="1"/>
  <c r="H372" i="5" s="1"/>
  <c r="D373" i="5" l="1"/>
  <c r="E373" i="5"/>
  <c r="F373" i="5" l="1"/>
  <c r="G373" i="5" l="1"/>
  <c r="H373" i="5" s="1"/>
  <c r="D374" i="5" l="1"/>
  <c r="E374" i="5"/>
  <c r="F374" i="5" l="1"/>
  <c r="G374" i="5" s="1"/>
  <c r="H374" i="5" l="1"/>
  <c r="E375" i="5" s="1"/>
  <c r="D375" i="5" l="1"/>
  <c r="F375" i="5" s="1"/>
  <c r="G375" i="5"/>
  <c r="H375" i="5" s="1"/>
  <c r="D376" i="5" l="1"/>
  <c r="E376" i="5"/>
  <c r="F376" i="5" l="1"/>
  <c r="G376" i="5" l="1"/>
  <c r="H376" i="5" s="1"/>
  <c r="D377" i="5" l="1"/>
  <c r="E377" i="5"/>
  <c r="F377" i="5" l="1"/>
  <c r="G377" i="5" l="1"/>
  <c r="H377" i="5" s="1"/>
  <c r="D378" i="5" l="1"/>
  <c r="E378" i="5"/>
  <c r="F378" i="5" l="1"/>
  <c r="G378" i="5" s="1"/>
  <c r="H378" i="5" l="1"/>
  <c r="D10" i="5"/>
  <c r="D14" i="5" s="1"/>
  <c r="D6" i="5"/>
  <c r="D7" i="5" s="1"/>
  <c r="D11" i="5"/>
</calcChain>
</file>

<file path=xl/sharedStrings.xml><?xml version="1.0" encoding="utf-8"?>
<sst xmlns="http://schemas.openxmlformats.org/spreadsheetml/2006/main" count="112" uniqueCount="53">
  <si>
    <t>Date</t>
  </si>
  <si>
    <t>Time</t>
  </si>
  <si>
    <t>Username</t>
  </si>
  <si>
    <t>Computer Name</t>
  </si>
  <si>
    <t>Warning: You must enable macros in order to access the data for this assignment. If you are seeing this message, macros have not been enabled. Please close the workbook and enable macros before re-opening it. If you have correctly enabled macros, you will be able to access the assignment data and will no longer see this message</t>
  </si>
  <si>
    <t>jacqu</t>
  </si>
  <si>
    <t>DESKTOP-LARUAH2</t>
  </si>
  <si>
    <t xml:space="preserve"> </t>
  </si>
  <si>
    <t>Period</t>
  </si>
  <si>
    <t>PMT</t>
  </si>
  <si>
    <t>Interest</t>
  </si>
  <si>
    <t>Balance</t>
  </si>
  <si>
    <t>Extra Prin</t>
  </si>
  <si>
    <t>Princ paid (reg)</t>
  </si>
  <si>
    <t>Closing date</t>
  </si>
  <si>
    <t>Closing Date</t>
  </si>
  <si>
    <t>Write Formula for D15</t>
  </si>
  <si>
    <t>Closing month</t>
  </si>
  <si>
    <t>Write Formula for D14</t>
  </si>
  <si>
    <r>
      <rPr>
        <sz val="11"/>
        <color rgb="FFFF0000"/>
        <rFont val="Arial"/>
        <family val="2"/>
      </rPr>
      <t>←</t>
    </r>
    <r>
      <rPr>
        <sz val="11"/>
        <color rgb="FFFF0000"/>
        <rFont val="Calibri"/>
        <family val="2"/>
        <scheme val="minor"/>
      </rPr>
      <t>Look at this number</t>
    </r>
  </si>
  <si>
    <t>Age when paid off</t>
  </si>
  <si>
    <r>
      <rPr>
        <sz val="11"/>
        <color rgb="FFFF0000"/>
        <rFont val="Arial"/>
        <family val="2"/>
      </rPr>
      <t>←</t>
    </r>
    <r>
      <rPr>
        <sz val="11"/>
        <color rgb="FFFF0000"/>
        <rFont val="Calibri"/>
        <family val="2"/>
        <scheme val="minor"/>
      </rPr>
      <t>ONLY CHANGE THIS NUMBER</t>
    </r>
  </si>
  <si>
    <t>How many months PRIOR to next birthday</t>
  </si>
  <si>
    <t>Your current age</t>
  </si>
  <si>
    <t>Write Formula for D11</t>
  </si>
  <si>
    <t>Actual date of paid off</t>
  </si>
  <si>
    <t>Write Formula for D10</t>
  </si>
  <si>
    <t>Month when paid off</t>
  </si>
  <si>
    <t>Write Formula for D9</t>
  </si>
  <si>
    <t>Date with first day of current month</t>
  </si>
  <si>
    <t>Current date</t>
  </si>
  <si>
    <t>Write Formula for D7</t>
  </si>
  <si>
    <t xml:space="preserve">Years saved: </t>
  </si>
  <si>
    <t>Write Formula for D6</t>
  </si>
  <si>
    <t>Years to pay off:</t>
  </si>
  <si>
    <t>Extra PMT (Monthly)</t>
  </si>
  <si>
    <t>Write Formula for D4</t>
  </si>
  <si>
    <t>PMT (Monthly)</t>
  </si>
  <si>
    <t>Term (Years)</t>
  </si>
  <si>
    <t>Rate (Annual)</t>
  </si>
  <si>
    <t>Original balance</t>
  </si>
  <si>
    <t>Example: Mine is jgarner47</t>
  </si>
  <si>
    <t>biyua</t>
  </si>
  <si>
    <t>LAPTOP-KLQC23A4</t>
  </si>
  <si>
    <t>DESKTOP-6E4S8K3</t>
  </si>
  <si>
    <t xml:space="preserve">Leave these formulas here.  They will update as you update this schedule.  You would "blank" these out if given to a mortgage holder, but these help you check your model as you build it. So please leave for purposes of the assignment. </t>
  </si>
  <si>
    <t>Name</t>
  </si>
  <si>
    <t xml:space="preserve">GT Login </t>
  </si>
  <si>
    <t>Do not put your 9 digit Student ID!</t>
  </si>
  <si>
    <t>brody</t>
  </si>
  <si>
    <t>DYLANFLOWX13</t>
  </si>
  <si>
    <t>dvo41</t>
  </si>
  <si>
    <t>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</si>
</sst>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8" formatCode="&quot;$&quot;#,##0.00_);[Red]\(&quot;$&quot;#,##0.00\)"/>
    <numFmt numFmtId="44" formatCode="_(&quot;$&quot;* #,##0.00_);_(&quot;$&quot;* \(#,##0.00\);_(&quot;$&quot;* &quot;-&quot;??_);_(@_)"/>
    <numFmt numFmtId="43" formatCode="_(* #,##0.00_);_(* \(#,##0.00\);_(* &quot;-&quot;??_);_(@_)"/>
    <numFmt numFmtId="164" formatCode="0.0000"/>
    <numFmt numFmtId="165" formatCode="&quot;$&quot;#,##0.000_);[Red]\(&quot;$&quot;#,##0.000\)"/>
    <numFmt numFmtId="166" formatCode="_(&quot;$&quot;* #,##0.000_);_(&quot;$&quot;* \(#,##0.000\);_(&quot;$&quot;* &quot;-&quot;??_);_(@_)"/>
  </numFmts>
  <fonts count="12" x14ac:knownFonts="1">
    <font>
      <sz val="11"/>
      <color theme="1"/>
      <name val="Calibri"/>
      <family val="2"/>
      <scheme val="minor"/>
    </font>
    <font>
      <sz val="12"/>
      <color rgb="FF222222"/>
      <name val="Arial"/>
      <family val="2"/>
    </font>
    <font>
      <sz val="11"/>
      <color theme="1"/>
      <name val="Calibri"/>
      <family val="2"/>
      <scheme val="minor"/>
    </font>
    <font>
      <b/>
      <sz val="11"/>
      <color theme="1"/>
      <name val="Calibri"/>
      <family val="2"/>
      <scheme val="minor"/>
    </font>
    <font>
      <b/>
      <sz val="11"/>
      <color theme="4"/>
      <name val="Calibri"/>
      <family val="2"/>
      <scheme val="minor"/>
    </font>
    <font>
      <sz val="11"/>
      <color indexed="8"/>
      <name val="Calibri"/>
      <family val="2"/>
      <scheme val="minor"/>
    </font>
    <font>
      <sz val="11"/>
      <color indexed="8"/>
      <name val="Arial"/>
      <family val="2"/>
    </font>
    <font>
      <b/>
      <sz val="11"/>
      <color theme="4" tint="-0.249977111117893"/>
      <name val="Calibri"/>
      <family val="2"/>
      <scheme val="minor"/>
    </font>
    <font>
      <sz val="11"/>
      <color rgb="FFFF0000"/>
      <name val="Calibri"/>
      <family val="2"/>
      <scheme val="minor"/>
    </font>
    <font>
      <sz val="11"/>
      <color rgb="FFFF0000"/>
      <name val="Arial"/>
      <family val="2"/>
    </font>
    <font>
      <sz val="11"/>
      <color theme="4" tint="-0.249977111117893"/>
      <name val="Calibri"/>
      <family val="2"/>
      <scheme val="minor"/>
    </font>
    <font>
      <b/>
      <sz val="11"/>
      <color rgb="FFFF0000"/>
      <name val="Calibri"/>
      <family val="2"/>
      <scheme val="minor"/>
    </font>
  </fonts>
  <fills count="4">
    <fill>
      <patternFill patternType="none"/>
    </fill>
    <fill>
      <patternFill patternType="gray125"/>
    </fill>
    <fill>
      <patternFill patternType="solid">
        <fgColor theme="2" tint="-9.9978637043366805E-2"/>
        <bgColor indexed="64"/>
      </patternFill>
    </fill>
    <fill>
      <patternFill patternType="solid">
        <fgColor theme="2"/>
        <bgColor indexed="64"/>
      </patternFill>
    </fill>
  </fills>
  <borders count="8">
    <border>
      <left/>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44" fontId="2" fillId="0" borderId="0" applyFont="0" applyFill="0" applyBorder="0" applyAlignment="0" applyProtection="0"/>
    <xf numFmtId="0" fontId="5" fillId="0" borderId="0"/>
  </cellStyleXfs>
  <cellXfs count="41">
    <xf numFmtId="0" fontId="0" fillId="0" borderId="0" xfId="0"/>
    <xf numFmtId="14" fontId="0" fillId="0" borderId="0" xfId="0" applyNumberFormat="1"/>
    <xf numFmtId="19" fontId="0" fillId="0" borderId="0" xfId="0" applyNumberFormat="1"/>
    <xf numFmtId="9" fontId="0" fillId="0" borderId="0" xfId="0" applyNumberFormat="1"/>
    <xf numFmtId="0" fontId="1" fillId="0" borderId="0" xfId="0" applyFont="1" applyAlignment="1">
      <alignment vertical="top" wrapText="1"/>
    </xf>
    <xf numFmtId="0" fontId="3" fillId="0" borderId="1" xfId="0" applyFont="1" applyBorder="1" applyAlignment="1">
      <alignment horizontal="center"/>
    </xf>
    <xf numFmtId="0" fontId="3" fillId="0" borderId="2" xfId="0" applyFont="1" applyBorder="1" applyAlignment="1">
      <alignment horizontal="center"/>
    </xf>
    <xf numFmtId="43" fontId="0" fillId="0" borderId="0" xfId="0" applyNumberFormat="1"/>
    <xf numFmtId="2" fontId="0" fillId="0" borderId="0" xfId="0" applyNumberFormat="1"/>
    <xf numFmtId="2" fontId="6" fillId="0" borderId="0" xfId="2" applyNumberFormat="1" applyFont="1"/>
    <xf numFmtId="43" fontId="0" fillId="2" borderId="5" xfId="0" applyNumberFormat="1" applyFill="1" applyBorder="1" applyAlignment="1">
      <alignment horizontal="center"/>
    </xf>
    <xf numFmtId="8" fontId="0" fillId="2" borderId="5" xfId="0" applyNumberFormat="1" applyFill="1" applyBorder="1" applyAlignment="1">
      <alignment horizontal="center"/>
    </xf>
    <xf numFmtId="44" fontId="0" fillId="2" borderId="5" xfId="0" applyNumberFormat="1" applyFill="1" applyBorder="1" applyAlignment="1">
      <alignment horizontal="center"/>
    </xf>
    <xf numFmtId="14" fontId="0" fillId="2" borderId="5" xfId="0" applyNumberFormat="1" applyFill="1" applyBorder="1"/>
    <xf numFmtId="44" fontId="0" fillId="0" borderId="0" xfId="0" applyNumberFormat="1"/>
    <xf numFmtId="44" fontId="0" fillId="0" borderId="0" xfId="0" applyNumberFormat="1" applyAlignment="1">
      <alignment horizontal="center"/>
    </xf>
    <xf numFmtId="0" fontId="3" fillId="0" borderId="0" xfId="0" applyFont="1"/>
    <xf numFmtId="0" fontId="3" fillId="0" borderId="3" xfId="0" applyFont="1" applyBorder="1" applyAlignment="1">
      <alignment horizontal="center"/>
    </xf>
    <xf numFmtId="0" fontId="3" fillId="0" borderId="6" xfId="0" applyFont="1" applyBorder="1" applyAlignment="1">
      <alignment horizontal="center"/>
    </xf>
    <xf numFmtId="14" fontId="7" fillId="0" borderId="5" xfId="0" applyNumberFormat="1" applyFont="1" applyBorder="1"/>
    <xf numFmtId="0" fontId="3" fillId="0" borderId="5" xfId="0" applyFont="1" applyBorder="1"/>
    <xf numFmtId="0" fontId="8" fillId="0" borderId="0" xfId="0" applyFont="1"/>
    <xf numFmtId="14" fontId="7" fillId="2" borderId="5" xfId="0" applyNumberFormat="1" applyFont="1" applyFill="1" applyBorder="1"/>
    <xf numFmtId="0" fontId="8" fillId="0" borderId="2" xfId="0" applyFont="1" applyBorder="1"/>
    <xf numFmtId="0" fontId="4" fillId="0" borderId="5" xfId="0" applyFont="1" applyBorder="1"/>
    <xf numFmtId="0" fontId="3" fillId="0" borderId="5" xfId="0" applyFont="1" applyBorder="1" applyAlignment="1">
      <alignment wrapText="1"/>
    </xf>
    <xf numFmtId="164" fontId="0" fillId="0" borderId="0" xfId="0" applyNumberFormat="1"/>
    <xf numFmtId="8" fontId="4" fillId="0" borderId="5" xfId="0" applyNumberFormat="1" applyFont="1" applyBorder="1"/>
    <xf numFmtId="8" fontId="0" fillId="0" borderId="0" xfId="0" applyNumberFormat="1"/>
    <xf numFmtId="0" fontId="10" fillId="0" borderId="5" xfId="0" applyFont="1" applyBorder="1"/>
    <xf numFmtId="44" fontId="10" fillId="0" borderId="5" xfId="1" applyFont="1" applyBorder="1"/>
    <xf numFmtId="0" fontId="0" fillId="3" borderId="7" xfId="0" applyFill="1" applyBorder="1"/>
    <xf numFmtId="0" fontId="11" fillId="0" borderId="0" xfId="0" applyFont="1"/>
    <xf numFmtId="0" fontId="0" fillId="0" borderId="0" xfId="0" applyAlignment="1">
      <alignment vertical="center"/>
    </xf>
    <xf numFmtId="2" fontId="7" fillId="2" borderId="5" xfId="0" applyNumberFormat="1" applyFont="1" applyFill="1" applyBorder="1"/>
    <xf numFmtId="165" fontId="0" fillId="2" borderId="5" xfId="0" applyNumberFormat="1" applyFill="1" applyBorder="1"/>
    <xf numFmtId="166" fontId="0" fillId="2" borderId="5" xfId="0" applyNumberFormat="1" applyFill="1" applyBorder="1" applyAlignment="1">
      <alignment horizontal="center"/>
    </xf>
    <xf numFmtId="2" fontId="3" fillId="2" borderId="5" xfId="0" applyNumberFormat="1" applyFont="1" applyFill="1" applyBorder="1"/>
    <xf numFmtId="165" fontId="3" fillId="2" borderId="5" xfId="0" applyNumberFormat="1" applyFont="1" applyFill="1" applyBorder="1"/>
    <xf numFmtId="0" fontId="3" fillId="0" borderId="4" xfId="0" applyFont="1" applyBorder="1" applyAlignment="1">
      <alignment horizontal="center" wrapText="1"/>
    </xf>
    <xf numFmtId="0" fontId="3" fillId="0" borderId="0" xfId="0" applyFont="1" applyAlignment="1">
      <alignment horizontal="center" wrapText="1"/>
    </xf>
  </cellXfs>
  <cellStyles count="3">
    <cellStyle name="Currency" xfId="1" builtinId="4"/>
    <cellStyle name="Normal" xfId="0" builtinId="0"/>
    <cellStyle name="Normal 2" xfId="2" xr:uid="{97CC31EA-487D-6E4B-A08C-E9D488EFF1B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0"/>
  <sheetViews>
    <sheetView workbookViewId="0">
      <selection activeCell="B1" sqref="B1"/>
    </sheetView>
  </sheetViews>
  <sheetFormatPr defaultColWidth="8.81640625" defaultRowHeight="14.5" x14ac:dyDescent="0.35"/>
  <cols>
    <col min="2" max="2" width="27.36328125" customWidth="1"/>
  </cols>
  <sheetData>
    <row r="1" spans="1:11" ht="15" thickBot="1" x14ac:dyDescent="0.4">
      <c r="A1" t="s">
        <v>46</v>
      </c>
      <c r="B1" s="31" t="s">
        <v>52</v>
      </c>
    </row>
    <row r="2" spans="1:11" ht="15" thickBot="1" x14ac:dyDescent="0.4">
      <c r="A2" t="s">
        <v>47</v>
      </c>
      <c r="B2" s="31" t="s">
        <v>51</v>
      </c>
      <c r="C2" s="32" t="s">
        <v>41</v>
      </c>
      <c r="D2" s="32"/>
      <c r="E2" s="32"/>
    </row>
    <row r="3" spans="1:11" x14ac:dyDescent="0.35">
      <c r="C3" s="21" t="s">
        <v>48</v>
      </c>
      <c r="D3" s="21"/>
      <c r="E3" s="21"/>
      <c r="F3" s="21"/>
    </row>
    <row r="9" spans="1:11" x14ac:dyDescent="0.35">
      <c r="K9" s="3"/>
    </row>
    <row r="10" spans="1:11" x14ac:dyDescent="0.35">
      <c r="K10"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413C4-3A12-604D-90D1-D7C062F1BD49}">
  <sheetPr codeName="Sheet4"/>
  <dimension ref="A1:L394"/>
  <sheetViews>
    <sheetView zoomScale="88" zoomScaleNormal="85" workbookViewId="0">
      <selection activeCell="B5" sqref="B5"/>
    </sheetView>
  </sheetViews>
  <sheetFormatPr defaultColWidth="8.81640625" defaultRowHeight="14.5" x14ac:dyDescent="0.35"/>
  <cols>
    <col min="1" max="1" width="14.81640625" customWidth="1"/>
    <col min="2" max="2" width="24" customWidth="1"/>
    <col min="3" max="3" width="28.26953125" customWidth="1"/>
    <col min="4" max="4" width="14.81640625" customWidth="1"/>
    <col min="5" max="5" width="30" customWidth="1"/>
    <col min="6" max="6" width="25.08984375" customWidth="1"/>
    <col min="7" max="10" width="14.81640625" customWidth="1"/>
    <col min="11" max="11" width="20.26953125" customWidth="1"/>
    <col min="12" max="12" width="13.26953125" customWidth="1"/>
  </cols>
  <sheetData>
    <row r="1" spans="2:8" x14ac:dyDescent="0.35">
      <c r="C1" s="20" t="s">
        <v>40</v>
      </c>
      <c r="D1" s="30">
        <v>250000</v>
      </c>
    </row>
    <row r="2" spans="2:8" x14ac:dyDescent="0.35">
      <c r="C2" s="20" t="s">
        <v>39</v>
      </c>
      <c r="D2" s="29">
        <v>4.2500000000000003E-2</v>
      </c>
      <c r="E2" s="29"/>
    </row>
    <row r="3" spans="2:8" x14ac:dyDescent="0.35">
      <c r="B3" s="33"/>
      <c r="C3" s="20" t="s">
        <v>38</v>
      </c>
      <c r="D3" s="29">
        <v>30</v>
      </c>
    </row>
    <row r="4" spans="2:8" ht="15" thickBot="1" x14ac:dyDescent="0.4">
      <c r="C4" s="20" t="s">
        <v>37</v>
      </c>
      <c r="D4" s="38">
        <f>PMT(D2/12,D3*12,-D1,0,0)</f>
        <v>1229.8497276987091</v>
      </c>
      <c r="E4" s="28" t="s">
        <v>7</v>
      </c>
      <c r="F4" s="16" t="s">
        <v>36</v>
      </c>
    </row>
    <row r="5" spans="2:8" ht="15" thickBot="1" x14ac:dyDescent="0.4">
      <c r="C5" s="20" t="s">
        <v>35</v>
      </c>
      <c r="D5" s="27">
        <v>200</v>
      </c>
      <c r="E5" s="23" t="s">
        <v>21</v>
      </c>
      <c r="F5" s="16"/>
      <c r="G5" t="s">
        <v>7</v>
      </c>
      <c r="H5" s="1" t="s">
        <v>7</v>
      </c>
    </row>
    <row r="6" spans="2:8" x14ac:dyDescent="0.35">
      <c r="C6" s="20" t="s">
        <v>34</v>
      </c>
      <c r="D6" s="37">
        <f>INDEX(A:A,MATCH("Paid Off",H:H,0))/12</f>
        <v>22.833333333333332</v>
      </c>
      <c r="E6" s="21" t="s">
        <v>19</v>
      </c>
      <c r="F6" s="16" t="s">
        <v>33</v>
      </c>
      <c r="H6" s="1" t="s">
        <v>7</v>
      </c>
    </row>
    <row r="7" spans="2:8" x14ac:dyDescent="0.35">
      <c r="C7" s="20" t="s">
        <v>32</v>
      </c>
      <c r="D7" s="37">
        <f>D3-D6</f>
        <v>7.1666666666666679</v>
      </c>
      <c r="E7" s="21" t="s">
        <v>19</v>
      </c>
      <c r="F7" s="16" t="s">
        <v>31</v>
      </c>
    </row>
    <row r="8" spans="2:8" x14ac:dyDescent="0.35">
      <c r="B8" t="s">
        <v>7</v>
      </c>
      <c r="C8" s="25" t="s">
        <v>30</v>
      </c>
      <c r="D8" s="19">
        <v>44255</v>
      </c>
      <c r="F8" s="16"/>
    </row>
    <row r="9" spans="2:8" ht="29" x14ac:dyDescent="0.35">
      <c r="B9" t="s">
        <v>7</v>
      </c>
      <c r="C9" s="25" t="s">
        <v>29</v>
      </c>
      <c r="D9" s="22">
        <f>DATE(YEAR(D8),MONTH(D8),1)</f>
        <v>44228</v>
      </c>
      <c r="E9" s="21" t="s">
        <v>7</v>
      </c>
      <c r="F9" s="16" t="s">
        <v>28</v>
      </c>
    </row>
    <row r="10" spans="2:8" x14ac:dyDescent="0.35">
      <c r="B10" s="8"/>
      <c r="C10" s="25" t="s">
        <v>27</v>
      </c>
      <c r="D10" s="22">
        <f>INDEX(K19:K378, MATCH("Paid Off", H19:H378, 0))</f>
        <v>52505</v>
      </c>
      <c r="F10" s="16" t="s">
        <v>26</v>
      </c>
    </row>
    <row r="11" spans="2:8" ht="15" thickBot="1" x14ac:dyDescent="0.4">
      <c r="B11" s="8"/>
      <c r="C11" s="25" t="s">
        <v>25</v>
      </c>
      <c r="D11" s="22">
        <f>INDEX(C19:C378, MATCH("Paid Off", H19:H378, 0))</f>
        <v>52535</v>
      </c>
      <c r="F11" s="16" t="s">
        <v>24</v>
      </c>
    </row>
    <row r="12" spans="2:8" ht="15" thickBot="1" x14ac:dyDescent="0.4">
      <c r="B12" s="8"/>
      <c r="C12" s="25" t="s">
        <v>23</v>
      </c>
      <c r="D12" s="24">
        <v>30</v>
      </c>
      <c r="E12" s="23" t="s">
        <v>21</v>
      </c>
      <c r="F12" s="16"/>
      <c r="H12" t="s">
        <v>7</v>
      </c>
    </row>
    <row r="13" spans="2:8" ht="29.5" thickBot="1" x14ac:dyDescent="0.4">
      <c r="B13" s="26"/>
      <c r="C13" s="25" t="s">
        <v>22</v>
      </c>
      <c r="D13" s="24">
        <v>10</v>
      </c>
      <c r="E13" s="23" t="s">
        <v>21</v>
      </c>
      <c r="F13" s="16"/>
    </row>
    <row r="14" spans="2:8" x14ac:dyDescent="0.35">
      <c r="C14" s="20" t="s">
        <v>20</v>
      </c>
      <c r="D14" s="34">
        <f>(D12 + (12 - D13)/12) + DATEDIF(D9, D10, "m")/12</f>
        <v>52.833333333333336</v>
      </c>
      <c r="E14" s="21" t="s">
        <v>19</v>
      </c>
      <c r="F14" s="16" t="s">
        <v>18</v>
      </c>
      <c r="G14" t="s">
        <v>7</v>
      </c>
      <c r="H14" t="s">
        <v>7</v>
      </c>
    </row>
    <row r="15" spans="2:8" x14ac:dyDescent="0.35">
      <c r="C15" s="20" t="s">
        <v>17</v>
      </c>
      <c r="D15" s="22">
        <f>DATE(YEAR(D16),MONTH(D16),1)</f>
        <v>44166</v>
      </c>
      <c r="E15" s="21"/>
      <c r="F15" s="16" t="s">
        <v>16</v>
      </c>
    </row>
    <row r="16" spans="2:8" ht="15" thickBot="1" x14ac:dyDescent="0.4">
      <c r="C16" s="20" t="s">
        <v>15</v>
      </c>
      <c r="D16" s="19">
        <v>44196</v>
      </c>
    </row>
    <row r="17" spans="1:12" ht="55.5" customHeight="1" thickBot="1" x14ac:dyDescent="0.4">
      <c r="A17" s="5" t="s">
        <v>8</v>
      </c>
      <c r="B17" s="17" t="s">
        <v>14</v>
      </c>
      <c r="C17" s="18" t="s">
        <v>0</v>
      </c>
      <c r="D17" s="18" t="s">
        <v>9</v>
      </c>
      <c r="E17" s="17" t="s">
        <v>10</v>
      </c>
      <c r="F17" s="17" t="s">
        <v>13</v>
      </c>
      <c r="G17" s="17" t="s">
        <v>12</v>
      </c>
      <c r="H17" s="6" t="s">
        <v>11</v>
      </c>
      <c r="I17" s="39" t="s">
        <v>45</v>
      </c>
      <c r="J17" s="40"/>
      <c r="K17" s="40"/>
      <c r="L17" s="16"/>
    </row>
    <row r="18" spans="1:12" x14ac:dyDescent="0.35">
      <c r="A18">
        <v>0</v>
      </c>
      <c r="D18" s="14"/>
      <c r="E18" s="15"/>
      <c r="F18" s="15"/>
      <c r="G18" s="15"/>
      <c r="H18" s="14">
        <f>D1</f>
        <v>250000</v>
      </c>
    </row>
    <row r="19" spans="1:12" x14ac:dyDescent="0.35">
      <c r="A19">
        <v>1</v>
      </c>
      <c r="B19" s="13">
        <f>$D$16</f>
        <v>44196</v>
      </c>
      <c r="C19" s="13">
        <f>EDATE(B19,A19)</f>
        <v>44227</v>
      </c>
      <c r="D19" s="35">
        <f>IF(AND(ISNUMBER(H18), H18 &gt; $D$4), $D$4, IF(AND(ISNUMBER(H18), H18 &gt; 0), H18 + E19, "Paid Off"))</f>
        <v>1229.8497276987091</v>
      </c>
      <c r="E19" s="36">
        <f>IFERROR(H18 * $D$2 / 12, "N/A")</f>
        <v>885.41666666666663</v>
      </c>
      <c r="F19" s="12">
        <f>IFERROR(D19 - E19, "N/A")</f>
        <v>344.43306103204247</v>
      </c>
      <c r="G19" s="11">
        <f>IF(ISNUMBER(H18), IF(H18 - F19 &gt; $D$5, $D$5, IF(H18 - F19 &gt; 0, H18 - F19, 0)), "N/A")</f>
        <v>200</v>
      </c>
      <c r="H19" s="10">
        <f>IFERROR(IF(H18 - F19 - G19 &gt; 0, H18 - F19 - G19, "Paid Off"), "Paid Off")</f>
        <v>249455.56693896797</v>
      </c>
      <c r="I19" s="9">
        <f t="shared" ref="I19:I82" si="0">MONTH(C19)</f>
        <v>1</v>
      </c>
      <c r="J19" s="8">
        <f t="shared" ref="J19:J82" si="1">YEAR(C19)</f>
        <v>2021</v>
      </c>
      <c r="K19" s="1">
        <f t="shared" ref="K19:K82" si="2">DATE(J19,(I19),1)</f>
        <v>44197</v>
      </c>
    </row>
    <row r="20" spans="1:12" x14ac:dyDescent="0.35">
      <c r="A20">
        <v>2</v>
      </c>
      <c r="B20" s="13">
        <f t="shared" ref="B20:B83" si="3">$D$16</f>
        <v>44196</v>
      </c>
      <c r="C20" s="13">
        <f t="shared" ref="C20:C83" si="4">EDATE(B20,A20)</f>
        <v>44255</v>
      </c>
      <c r="D20" s="35">
        <f t="shared" ref="D20:D83" si="5">IF(AND(ISNUMBER(H19), H19 &gt; $D$4), $D$4, IF(AND(ISNUMBER(H19), H19 &gt; 0), H19 + E20, "Paid Off"))</f>
        <v>1229.8497276987091</v>
      </c>
      <c r="E20" s="36">
        <f t="shared" ref="E20:E83" si="6">IFERROR(H19 * $D$2 / 12, "N/A")</f>
        <v>883.48846624217822</v>
      </c>
      <c r="F20" s="12">
        <f t="shared" ref="F20:F83" si="7">IFERROR(D20 - E20, "N/A")</f>
        <v>346.36126145653088</v>
      </c>
      <c r="G20" s="11">
        <f t="shared" ref="G20:G83" si="8">IF(ISNUMBER(H19), IF(H19 - F20 &gt; $D$5, $D$5, IF(H19 - F20 &gt; 0, H19 - F20, 0)), "N/A")</f>
        <v>200</v>
      </c>
      <c r="H20" s="10">
        <f t="shared" ref="H20:H83" si="9">IFERROR(IF(H19 - F20 - G20 &gt; 0, H19 - F20 - G20, "Paid Off"), "Paid Off")</f>
        <v>248909.20567751143</v>
      </c>
      <c r="I20" s="9">
        <f t="shared" si="0"/>
        <v>2</v>
      </c>
      <c r="J20" s="8">
        <f t="shared" si="1"/>
        <v>2021</v>
      </c>
      <c r="K20" s="1">
        <f t="shared" si="2"/>
        <v>44228</v>
      </c>
      <c r="L20" s="8"/>
    </row>
    <row r="21" spans="1:12" x14ac:dyDescent="0.35">
      <c r="A21">
        <v>3</v>
      </c>
      <c r="B21" s="13">
        <f t="shared" si="3"/>
        <v>44196</v>
      </c>
      <c r="C21" s="13">
        <f t="shared" si="4"/>
        <v>44286</v>
      </c>
      <c r="D21" s="35">
        <f t="shared" si="5"/>
        <v>1229.8497276987091</v>
      </c>
      <c r="E21" s="36">
        <f t="shared" si="6"/>
        <v>881.55343677451981</v>
      </c>
      <c r="F21" s="12">
        <f t="shared" si="7"/>
        <v>348.29629092418929</v>
      </c>
      <c r="G21" s="11">
        <f t="shared" si="8"/>
        <v>200</v>
      </c>
      <c r="H21" s="10">
        <f t="shared" si="9"/>
        <v>248360.90938658724</v>
      </c>
      <c r="I21" s="9">
        <f t="shared" si="0"/>
        <v>3</v>
      </c>
      <c r="J21" s="8">
        <f t="shared" si="1"/>
        <v>2021</v>
      </c>
      <c r="K21" s="1">
        <f t="shared" si="2"/>
        <v>44256</v>
      </c>
      <c r="L21" s="8"/>
    </row>
    <row r="22" spans="1:12" x14ac:dyDescent="0.35">
      <c r="A22">
        <v>4</v>
      </c>
      <c r="B22" s="13">
        <f t="shared" si="3"/>
        <v>44196</v>
      </c>
      <c r="C22" s="13">
        <f t="shared" si="4"/>
        <v>44316</v>
      </c>
      <c r="D22" s="35">
        <f t="shared" si="5"/>
        <v>1229.8497276987091</v>
      </c>
      <c r="E22" s="36">
        <f t="shared" si="6"/>
        <v>879.61155407749663</v>
      </c>
      <c r="F22" s="12">
        <f t="shared" si="7"/>
        <v>350.23817362121247</v>
      </c>
      <c r="G22" s="11">
        <f t="shared" si="8"/>
        <v>200</v>
      </c>
      <c r="H22" s="10">
        <f t="shared" si="9"/>
        <v>247810.67121296603</v>
      </c>
      <c r="I22" s="9">
        <f t="shared" si="0"/>
        <v>4</v>
      </c>
      <c r="J22" s="8">
        <f t="shared" si="1"/>
        <v>2021</v>
      </c>
      <c r="K22" s="1">
        <f t="shared" si="2"/>
        <v>44287</v>
      </c>
      <c r="L22" s="8"/>
    </row>
    <row r="23" spans="1:12" x14ac:dyDescent="0.35">
      <c r="A23">
        <v>5</v>
      </c>
      <c r="B23" s="13">
        <f t="shared" si="3"/>
        <v>44196</v>
      </c>
      <c r="C23" s="13">
        <f t="shared" si="4"/>
        <v>44347</v>
      </c>
      <c r="D23" s="35">
        <f t="shared" si="5"/>
        <v>1229.8497276987091</v>
      </c>
      <c r="E23" s="36">
        <f t="shared" si="6"/>
        <v>877.66279387925476</v>
      </c>
      <c r="F23" s="12">
        <f t="shared" si="7"/>
        <v>352.18693381945434</v>
      </c>
      <c r="G23" s="11">
        <f t="shared" si="8"/>
        <v>200</v>
      </c>
      <c r="H23" s="10">
        <f t="shared" si="9"/>
        <v>247258.48427914656</v>
      </c>
      <c r="I23" s="9">
        <f t="shared" si="0"/>
        <v>5</v>
      </c>
      <c r="J23" s="8">
        <f t="shared" si="1"/>
        <v>2021</v>
      </c>
      <c r="K23" s="1">
        <f t="shared" si="2"/>
        <v>44317</v>
      </c>
      <c r="L23" s="8"/>
    </row>
    <row r="24" spans="1:12" x14ac:dyDescent="0.35">
      <c r="A24">
        <v>6</v>
      </c>
      <c r="B24" s="13">
        <f t="shared" si="3"/>
        <v>44196</v>
      </c>
      <c r="C24" s="13">
        <f t="shared" si="4"/>
        <v>44377</v>
      </c>
      <c r="D24" s="35">
        <f t="shared" si="5"/>
        <v>1229.8497276987091</v>
      </c>
      <c r="E24" s="36">
        <f t="shared" si="6"/>
        <v>875.70713182197744</v>
      </c>
      <c r="F24" s="12">
        <f t="shared" si="7"/>
        <v>354.14259587673166</v>
      </c>
      <c r="G24" s="11">
        <f t="shared" si="8"/>
        <v>200</v>
      </c>
      <c r="H24" s="10">
        <f t="shared" si="9"/>
        <v>246704.34168326983</v>
      </c>
      <c r="I24" s="9">
        <f t="shared" si="0"/>
        <v>6</v>
      </c>
      <c r="J24" s="8">
        <f t="shared" si="1"/>
        <v>2021</v>
      </c>
      <c r="K24" s="1">
        <f t="shared" si="2"/>
        <v>44348</v>
      </c>
      <c r="L24" s="8"/>
    </row>
    <row r="25" spans="1:12" x14ac:dyDescent="0.35">
      <c r="A25">
        <v>7</v>
      </c>
      <c r="B25" s="13">
        <f t="shared" si="3"/>
        <v>44196</v>
      </c>
      <c r="C25" s="13">
        <f t="shared" si="4"/>
        <v>44408</v>
      </c>
      <c r="D25" s="35">
        <f t="shared" si="5"/>
        <v>1229.8497276987091</v>
      </c>
      <c r="E25" s="36">
        <f t="shared" si="6"/>
        <v>873.74454346158063</v>
      </c>
      <c r="F25" s="12">
        <f t="shared" si="7"/>
        <v>356.10518423712847</v>
      </c>
      <c r="G25" s="11">
        <f t="shared" si="8"/>
        <v>200</v>
      </c>
      <c r="H25" s="10">
        <f t="shared" si="9"/>
        <v>246148.2364990327</v>
      </c>
      <c r="I25" s="9">
        <f t="shared" si="0"/>
        <v>7</v>
      </c>
      <c r="J25" s="8">
        <f t="shared" si="1"/>
        <v>2021</v>
      </c>
      <c r="K25" s="1">
        <f t="shared" si="2"/>
        <v>44378</v>
      </c>
      <c r="L25" s="8"/>
    </row>
    <row r="26" spans="1:12" x14ac:dyDescent="0.35">
      <c r="A26">
        <v>8</v>
      </c>
      <c r="B26" s="13">
        <f t="shared" si="3"/>
        <v>44196</v>
      </c>
      <c r="C26" s="13">
        <f t="shared" si="4"/>
        <v>44439</v>
      </c>
      <c r="D26" s="35">
        <f t="shared" si="5"/>
        <v>1229.8497276987091</v>
      </c>
      <c r="E26" s="36">
        <f t="shared" si="6"/>
        <v>871.77500426740755</v>
      </c>
      <c r="F26" s="12">
        <f t="shared" si="7"/>
        <v>358.07472343130155</v>
      </c>
      <c r="G26" s="11">
        <f t="shared" si="8"/>
        <v>200</v>
      </c>
      <c r="H26" s="10">
        <f t="shared" si="9"/>
        <v>245590.16177560142</v>
      </c>
      <c r="I26" s="9">
        <f t="shared" si="0"/>
        <v>8</v>
      </c>
      <c r="J26" s="8">
        <f t="shared" si="1"/>
        <v>2021</v>
      </c>
      <c r="K26" s="1">
        <f t="shared" si="2"/>
        <v>44409</v>
      </c>
      <c r="L26" s="8"/>
    </row>
    <row r="27" spans="1:12" x14ac:dyDescent="0.35">
      <c r="A27">
        <v>9</v>
      </c>
      <c r="B27" s="13">
        <f t="shared" si="3"/>
        <v>44196</v>
      </c>
      <c r="C27" s="13">
        <f t="shared" si="4"/>
        <v>44469</v>
      </c>
      <c r="D27" s="35">
        <f t="shared" si="5"/>
        <v>1229.8497276987091</v>
      </c>
      <c r="E27" s="36">
        <f t="shared" si="6"/>
        <v>869.79848962192182</v>
      </c>
      <c r="F27" s="12">
        <f t="shared" si="7"/>
        <v>360.05123807678729</v>
      </c>
      <c r="G27" s="11">
        <f t="shared" si="8"/>
        <v>200</v>
      </c>
      <c r="H27" s="10">
        <f t="shared" si="9"/>
        <v>245030.11053752463</v>
      </c>
      <c r="I27" s="9">
        <f t="shared" si="0"/>
        <v>9</v>
      </c>
      <c r="J27" s="8">
        <f t="shared" si="1"/>
        <v>2021</v>
      </c>
      <c r="K27" s="1">
        <f t="shared" si="2"/>
        <v>44440</v>
      </c>
      <c r="L27" s="8"/>
    </row>
    <row r="28" spans="1:12" x14ac:dyDescent="0.35">
      <c r="A28">
        <v>10</v>
      </c>
      <c r="B28" s="13">
        <f t="shared" si="3"/>
        <v>44196</v>
      </c>
      <c r="C28" s="13">
        <f t="shared" si="4"/>
        <v>44500</v>
      </c>
      <c r="D28" s="35">
        <f t="shared" si="5"/>
        <v>1229.8497276987091</v>
      </c>
      <c r="E28" s="36">
        <f t="shared" si="6"/>
        <v>867.8149748203997</v>
      </c>
      <c r="F28" s="12">
        <f t="shared" si="7"/>
        <v>362.0347528783094</v>
      </c>
      <c r="G28" s="11">
        <f t="shared" si="8"/>
        <v>200</v>
      </c>
      <c r="H28" s="10">
        <f t="shared" si="9"/>
        <v>244468.07578464632</v>
      </c>
      <c r="I28" s="9">
        <f t="shared" si="0"/>
        <v>10</v>
      </c>
      <c r="J28" s="8">
        <f t="shared" si="1"/>
        <v>2021</v>
      </c>
      <c r="K28" s="1">
        <f t="shared" si="2"/>
        <v>44470</v>
      </c>
      <c r="L28" s="8"/>
    </row>
    <row r="29" spans="1:12" x14ac:dyDescent="0.35">
      <c r="A29">
        <v>11</v>
      </c>
      <c r="B29" s="13">
        <f t="shared" si="3"/>
        <v>44196</v>
      </c>
      <c r="C29" s="13">
        <f t="shared" si="4"/>
        <v>44530</v>
      </c>
      <c r="D29" s="35">
        <f t="shared" si="5"/>
        <v>1229.8497276987091</v>
      </c>
      <c r="E29" s="36">
        <f t="shared" si="6"/>
        <v>865.82443507062237</v>
      </c>
      <c r="F29" s="12">
        <f t="shared" si="7"/>
        <v>364.02529262808673</v>
      </c>
      <c r="G29" s="11">
        <f t="shared" si="8"/>
        <v>200</v>
      </c>
      <c r="H29" s="10">
        <f t="shared" si="9"/>
        <v>243904.05049201823</v>
      </c>
      <c r="I29" s="9">
        <f t="shared" si="0"/>
        <v>11</v>
      </c>
      <c r="J29" s="8">
        <f t="shared" si="1"/>
        <v>2021</v>
      </c>
      <c r="K29" s="1">
        <f t="shared" si="2"/>
        <v>44501</v>
      </c>
      <c r="L29" s="8"/>
    </row>
    <row r="30" spans="1:12" x14ac:dyDescent="0.35">
      <c r="A30">
        <v>12</v>
      </c>
      <c r="B30" s="13">
        <f t="shared" si="3"/>
        <v>44196</v>
      </c>
      <c r="C30" s="13">
        <f t="shared" si="4"/>
        <v>44561</v>
      </c>
      <c r="D30" s="35">
        <f t="shared" si="5"/>
        <v>1229.8497276987091</v>
      </c>
      <c r="E30" s="36">
        <f t="shared" si="6"/>
        <v>863.82684549256464</v>
      </c>
      <c r="F30" s="12">
        <f t="shared" si="7"/>
        <v>366.02288220614446</v>
      </c>
      <c r="G30" s="11">
        <f t="shared" si="8"/>
        <v>200</v>
      </c>
      <c r="H30" s="10">
        <f t="shared" si="9"/>
        <v>243338.0276098121</v>
      </c>
      <c r="I30" s="9">
        <f t="shared" si="0"/>
        <v>12</v>
      </c>
      <c r="J30" s="8">
        <f t="shared" si="1"/>
        <v>2021</v>
      </c>
      <c r="K30" s="1">
        <f t="shared" si="2"/>
        <v>44531</v>
      </c>
      <c r="L30" s="8"/>
    </row>
    <row r="31" spans="1:12" x14ac:dyDescent="0.35">
      <c r="A31">
        <v>13</v>
      </c>
      <c r="B31" s="13">
        <f t="shared" si="3"/>
        <v>44196</v>
      </c>
      <c r="C31" s="13">
        <f t="shared" si="4"/>
        <v>44592</v>
      </c>
      <c r="D31" s="35">
        <f t="shared" si="5"/>
        <v>1229.8497276987091</v>
      </c>
      <c r="E31" s="36">
        <f t="shared" si="6"/>
        <v>861.82218111808459</v>
      </c>
      <c r="F31" s="12">
        <f t="shared" si="7"/>
        <v>368.02754658062452</v>
      </c>
      <c r="G31" s="11">
        <f t="shared" si="8"/>
        <v>200</v>
      </c>
      <c r="H31" s="10">
        <f t="shared" si="9"/>
        <v>242770.00006323148</v>
      </c>
      <c r="I31" s="9">
        <f t="shared" si="0"/>
        <v>1</v>
      </c>
      <c r="J31" s="8">
        <f t="shared" si="1"/>
        <v>2022</v>
      </c>
      <c r="K31" s="1">
        <f t="shared" si="2"/>
        <v>44562</v>
      </c>
      <c r="L31" s="8"/>
    </row>
    <row r="32" spans="1:12" x14ac:dyDescent="0.35">
      <c r="A32">
        <v>14</v>
      </c>
      <c r="B32" s="13">
        <f t="shared" si="3"/>
        <v>44196</v>
      </c>
      <c r="C32" s="13">
        <f t="shared" si="4"/>
        <v>44620</v>
      </c>
      <c r="D32" s="35">
        <f t="shared" si="5"/>
        <v>1229.8497276987091</v>
      </c>
      <c r="E32" s="36">
        <f t="shared" si="6"/>
        <v>859.81041689061158</v>
      </c>
      <c r="F32" s="12">
        <f t="shared" si="7"/>
        <v>370.03931080809753</v>
      </c>
      <c r="G32" s="11">
        <f t="shared" si="8"/>
        <v>200</v>
      </c>
      <c r="H32" s="10">
        <f t="shared" si="9"/>
        <v>242199.96075242339</v>
      </c>
      <c r="I32" s="9">
        <f t="shared" si="0"/>
        <v>2</v>
      </c>
      <c r="J32" s="8">
        <f t="shared" si="1"/>
        <v>2022</v>
      </c>
      <c r="K32" s="1">
        <f t="shared" si="2"/>
        <v>44593</v>
      </c>
      <c r="L32" s="8"/>
    </row>
    <row r="33" spans="1:12" x14ac:dyDescent="0.35">
      <c r="A33">
        <v>15</v>
      </c>
      <c r="B33" s="13">
        <f t="shared" si="3"/>
        <v>44196</v>
      </c>
      <c r="C33" s="13">
        <f t="shared" si="4"/>
        <v>44651</v>
      </c>
      <c r="D33" s="35">
        <f t="shared" si="5"/>
        <v>1229.8497276987091</v>
      </c>
      <c r="E33" s="36">
        <f t="shared" si="6"/>
        <v>857.79152766483287</v>
      </c>
      <c r="F33" s="12">
        <f t="shared" si="7"/>
        <v>372.05820003387623</v>
      </c>
      <c r="G33" s="11">
        <f t="shared" si="8"/>
        <v>200</v>
      </c>
      <c r="H33" s="10">
        <f t="shared" si="9"/>
        <v>241627.90255238951</v>
      </c>
      <c r="I33" s="9">
        <f t="shared" si="0"/>
        <v>3</v>
      </c>
      <c r="J33" s="8">
        <f t="shared" si="1"/>
        <v>2022</v>
      </c>
      <c r="K33" s="1">
        <f t="shared" si="2"/>
        <v>44621</v>
      </c>
      <c r="L33" s="8"/>
    </row>
    <row r="34" spans="1:12" x14ac:dyDescent="0.35">
      <c r="A34">
        <v>16</v>
      </c>
      <c r="B34" s="13">
        <f t="shared" si="3"/>
        <v>44196</v>
      </c>
      <c r="C34" s="13">
        <f t="shared" si="4"/>
        <v>44681</v>
      </c>
      <c r="D34" s="35">
        <f t="shared" si="5"/>
        <v>1229.8497276987091</v>
      </c>
      <c r="E34" s="36">
        <f t="shared" si="6"/>
        <v>855.76548820637947</v>
      </c>
      <c r="F34" s="12">
        <f t="shared" si="7"/>
        <v>374.08423949232963</v>
      </c>
      <c r="G34" s="11">
        <f t="shared" si="8"/>
        <v>200</v>
      </c>
      <c r="H34" s="10">
        <f t="shared" si="9"/>
        <v>241053.81831289717</v>
      </c>
      <c r="I34" s="9">
        <f t="shared" si="0"/>
        <v>4</v>
      </c>
      <c r="J34" s="8">
        <f t="shared" si="1"/>
        <v>2022</v>
      </c>
      <c r="K34" s="1">
        <f t="shared" si="2"/>
        <v>44652</v>
      </c>
      <c r="L34" s="8"/>
    </row>
    <row r="35" spans="1:12" x14ac:dyDescent="0.35">
      <c r="A35">
        <v>17</v>
      </c>
      <c r="B35" s="13">
        <f t="shared" si="3"/>
        <v>44196</v>
      </c>
      <c r="C35" s="13">
        <f t="shared" si="4"/>
        <v>44712</v>
      </c>
      <c r="D35" s="35">
        <f t="shared" si="5"/>
        <v>1229.8497276987091</v>
      </c>
      <c r="E35" s="36">
        <f t="shared" si="6"/>
        <v>853.7322731915109</v>
      </c>
      <c r="F35" s="12">
        <f t="shared" si="7"/>
        <v>376.1174545071982</v>
      </c>
      <c r="G35" s="11">
        <f t="shared" si="8"/>
        <v>200</v>
      </c>
      <c r="H35" s="10">
        <f t="shared" si="9"/>
        <v>240477.70085838999</v>
      </c>
      <c r="I35" s="9">
        <f t="shared" si="0"/>
        <v>5</v>
      </c>
      <c r="J35" s="8">
        <f t="shared" si="1"/>
        <v>2022</v>
      </c>
      <c r="K35" s="1">
        <f t="shared" si="2"/>
        <v>44682</v>
      </c>
      <c r="L35" s="8"/>
    </row>
    <row r="36" spans="1:12" x14ac:dyDescent="0.35">
      <c r="A36">
        <v>18</v>
      </c>
      <c r="B36" s="13">
        <f t="shared" si="3"/>
        <v>44196</v>
      </c>
      <c r="C36" s="13">
        <f t="shared" si="4"/>
        <v>44742</v>
      </c>
      <c r="D36" s="35">
        <f t="shared" si="5"/>
        <v>1229.8497276987091</v>
      </c>
      <c r="E36" s="36">
        <f t="shared" si="6"/>
        <v>851.69185720679798</v>
      </c>
      <c r="F36" s="12">
        <f t="shared" si="7"/>
        <v>378.15787049191113</v>
      </c>
      <c r="G36" s="11">
        <f t="shared" si="8"/>
        <v>200</v>
      </c>
      <c r="H36" s="10">
        <f t="shared" si="9"/>
        <v>239899.54298789808</v>
      </c>
      <c r="I36" s="9">
        <f t="shared" si="0"/>
        <v>6</v>
      </c>
      <c r="J36" s="8">
        <f t="shared" si="1"/>
        <v>2022</v>
      </c>
      <c r="K36" s="1">
        <f t="shared" si="2"/>
        <v>44713</v>
      </c>
      <c r="L36" s="8"/>
    </row>
    <row r="37" spans="1:12" x14ac:dyDescent="0.35">
      <c r="A37">
        <v>19</v>
      </c>
      <c r="B37" s="13">
        <f t="shared" si="3"/>
        <v>44196</v>
      </c>
      <c r="C37" s="13">
        <f t="shared" si="4"/>
        <v>44773</v>
      </c>
      <c r="D37" s="35">
        <f t="shared" si="5"/>
        <v>1229.8497276987091</v>
      </c>
      <c r="E37" s="36">
        <f t="shared" si="6"/>
        <v>849.64421474880567</v>
      </c>
      <c r="F37" s="12">
        <f t="shared" si="7"/>
        <v>380.20551294990344</v>
      </c>
      <c r="G37" s="11">
        <f t="shared" si="8"/>
        <v>200</v>
      </c>
      <c r="H37" s="10">
        <f t="shared" si="9"/>
        <v>239319.33747494817</v>
      </c>
      <c r="I37" s="9">
        <f t="shared" si="0"/>
        <v>7</v>
      </c>
      <c r="J37" s="8">
        <f t="shared" si="1"/>
        <v>2022</v>
      </c>
      <c r="K37" s="1">
        <f t="shared" si="2"/>
        <v>44743</v>
      </c>
      <c r="L37" s="8"/>
    </row>
    <row r="38" spans="1:12" x14ac:dyDescent="0.35">
      <c r="A38">
        <v>20</v>
      </c>
      <c r="B38" s="13">
        <f t="shared" si="3"/>
        <v>44196</v>
      </c>
      <c r="C38" s="13">
        <f t="shared" si="4"/>
        <v>44804</v>
      </c>
      <c r="D38" s="35">
        <f t="shared" si="5"/>
        <v>1229.8497276987091</v>
      </c>
      <c r="E38" s="36">
        <f t="shared" si="6"/>
        <v>847.58932022377485</v>
      </c>
      <c r="F38" s="12">
        <f t="shared" si="7"/>
        <v>382.26040747493425</v>
      </c>
      <c r="G38" s="11">
        <f t="shared" si="8"/>
        <v>200</v>
      </c>
      <c r="H38" s="10">
        <f t="shared" si="9"/>
        <v>238737.07706747323</v>
      </c>
      <c r="I38" s="9">
        <f t="shared" si="0"/>
        <v>8</v>
      </c>
      <c r="J38" s="8">
        <f t="shared" si="1"/>
        <v>2022</v>
      </c>
      <c r="K38" s="1">
        <f t="shared" si="2"/>
        <v>44774</v>
      </c>
      <c r="L38" s="8"/>
    </row>
    <row r="39" spans="1:12" x14ac:dyDescent="0.35">
      <c r="A39">
        <v>21</v>
      </c>
      <c r="B39" s="13">
        <f t="shared" si="3"/>
        <v>44196</v>
      </c>
      <c r="C39" s="13">
        <f t="shared" si="4"/>
        <v>44834</v>
      </c>
      <c r="D39" s="35">
        <f t="shared" si="5"/>
        <v>1229.8497276987091</v>
      </c>
      <c r="E39" s="36">
        <f t="shared" si="6"/>
        <v>845.52714794730116</v>
      </c>
      <c r="F39" s="12">
        <f t="shared" si="7"/>
        <v>384.32257975140794</v>
      </c>
      <c r="G39" s="11">
        <f t="shared" si="8"/>
        <v>200</v>
      </c>
      <c r="H39" s="10">
        <f t="shared" si="9"/>
        <v>238152.75448772183</v>
      </c>
      <c r="I39" s="9">
        <f t="shared" si="0"/>
        <v>9</v>
      </c>
      <c r="J39" s="8">
        <f t="shared" si="1"/>
        <v>2022</v>
      </c>
      <c r="K39" s="1">
        <f t="shared" si="2"/>
        <v>44805</v>
      </c>
      <c r="L39" s="8"/>
    </row>
    <row r="40" spans="1:12" x14ac:dyDescent="0.35">
      <c r="A40">
        <v>22</v>
      </c>
      <c r="B40" s="13">
        <f t="shared" si="3"/>
        <v>44196</v>
      </c>
      <c r="C40" s="13">
        <f t="shared" si="4"/>
        <v>44865</v>
      </c>
      <c r="D40" s="35">
        <f t="shared" si="5"/>
        <v>1229.8497276987091</v>
      </c>
      <c r="E40" s="36">
        <f t="shared" si="6"/>
        <v>843.45767214401485</v>
      </c>
      <c r="F40" s="12">
        <f t="shared" si="7"/>
        <v>386.39205555469425</v>
      </c>
      <c r="G40" s="11">
        <f t="shared" si="8"/>
        <v>200</v>
      </c>
      <c r="H40" s="10">
        <f t="shared" si="9"/>
        <v>237566.36243216714</v>
      </c>
      <c r="I40" s="9">
        <f t="shared" si="0"/>
        <v>10</v>
      </c>
      <c r="J40" s="8">
        <f t="shared" si="1"/>
        <v>2022</v>
      </c>
      <c r="K40" s="1">
        <f t="shared" si="2"/>
        <v>44835</v>
      </c>
      <c r="L40" s="8"/>
    </row>
    <row r="41" spans="1:12" x14ac:dyDescent="0.35">
      <c r="A41">
        <v>23</v>
      </c>
      <c r="B41" s="13">
        <f t="shared" si="3"/>
        <v>44196</v>
      </c>
      <c r="C41" s="13">
        <f t="shared" si="4"/>
        <v>44895</v>
      </c>
      <c r="D41" s="35">
        <f t="shared" si="5"/>
        <v>1229.8497276987091</v>
      </c>
      <c r="E41" s="36">
        <f t="shared" si="6"/>
        <v>841.38086694725871</v>
      </c>
      <c r="F41" s="12">
        <f t="shared" si="7"/>
        <v>388.46886075145039</v>
      </c>
      <c r="G41" s="11">
        <f t="shared" si="8"/>
        <v>200</v>
      </c>
      <c r="H41" s="10">
        <f t="shared" si="9"/>
        <v>236977.89357141568</v>
      </c>
      <c r="I41" s="9">
        <f t="shared" si="0"/>
        <v>11</v>
      </c>
      <c r="J41" s="8">
        <f t="shared" si="1"/>
        <v>2022</v>
      </c>
      <c r="K41" s="1">
        <f t="shared" si="2"/>
        <v>44866</v>
      </c>
      <c r="L41" s="8"/>
    </row>
    <row r="42" spans="1:12" x14ac:dyDescent="0.35">
      <c r="A42">
        <v>24</v>
      </c>
      <c r="B42" s="13">
        <f t="shared" si="3"/>
        <v>44196</v>
      </c>
      <c r="C42" s="13">
        <f t="shared" si="4"/>
        <v>44926</v>
      </c>
      <c r="D42" s="35">
        <f t="shared" si="5"/>
        <v>1229.8497276987091</v>
      </c>
      <c r="E42" s="36">
        <f t="shared" si="6"/>
        <v>839.29670639876394</v>
      </c>
      <c r="F42" s="12">
        <f t="shared" si="7"/>
        <v>390.55302129994516</v>
      </c>
      <c r="G42" s="11">
        <f t="shared" si="8"/>
        <v>200</v>
      </c>
      <c r="H42" s="10">
        <f t="shared" si="9"/>
        <v>236387.34055011574</v>
      </c>
      <c r="I42" s="9">
        <f t="shared" si="0"/>
        <v>12</v>
      </c>
      <c r="J42" s="8">
        <f t="shared" si="1"/>
        <v>2022</v>
      </c>
      <c r="K42" s="1">
        <f t="shared" si="2"/>
        <v>44896</v>
      </c>
      <c r="L42" s="8"/>
    </row>
    <row r="43" spans="1:12" x14ac:dyDescent="0.35">
      <c r="A43">
        <v>25</v>
      </c>
      <c r="B43" s="13">
        <f t="shared" si="3"/>
        <v>44196</v>
      </c>
      <c r="C43" s="13">
        <f t="shared" si="4"/>
        <v>44957</v>
      </c>
      <c r="D43" s="35">
        <f t="shared" si="5"/>
        <v>1229.8497276987091</v>
      </c>
      <c r="E43" s="36">
        <f t="shared" si="6"/>
        <v>837.20516444832663</v>
      </c>
      <c r="F43" s="12">
        <f t="shared" si="7"/>
        <v>392.64456325038248</v>
      </c>
      <c r="G43" s="11">
        <f t="shared" si="8"/>
        <v>200</v>
      </c>
      <c r="H43" s="10">
        <f t="shared" si="9"/>
        <v>235794.69598686535</v>
      </c>
      <c r="I43" s="9">
        <f t="shared" si="0"/>
        <v>1</v>
      </c>
      <c r="J43" s="8">
        <f t="shared" si="1"/>
        <v>2023</v>
      </c>
      <c r="K43" s="1">
        <f t="shared" si="2"/>
        <v>44927</v>
      </c>
      <c r="L43" s="8"/>
    </row>
    <row r="44" spans="1:12" x14ac:dyDescent="0.35">
      <c r="A44">
        <v>26</v>
      </c>
      <c r="B44" s="13">
        <f t="shared" si="3"/>
        <v>44196</v>
      </c>
      <c r="C44" s="13">
        <f t="shared" si="4"/>
        <v>44985</v>
      </c>
      <c r="D44" s="35">
        <f t="shared" si="5"/>
        <v>1229.8497276987091</v>
      </c>
      <c r="E44" s="36">
        <f t="shared" si="6"/>
        <v>835.10621495348153</v>
      </c>
      <c r="F44" s="12">
        <f t="shared" si="7"/>
        <v>394.74351274522758</v>
      </c>
      <c r="G44" s="11">
        <f t="shared" si="8"/>
        <v>200</v>
      </c>
      <c r="H44" s="10">
        <f t="shared" si="9"/>
        <v>235199.95247412013</v>
      </c>
      <c r="I44" s="9">
        <f t="shared" si="0"/>
        <v>2</v>
      </c>
      <c r="J44" s="8">
        <f t="shared" si="1"/>
        <v>2023</v>
      </c>
      <c r="K44" s="1">
        <f t="shared" si="2"/>
        <v>44958</v>
      </c>
      <c r="L44" s="8"/>
    </row>
    <row r="45" spans="1:12" x14ac:dyDescent="0.35">
      <c r="A45">
        <v>27</v>
      </c>
      <c r="B45" s="13">
        <f t="shared" si="3"/>
        <v>44196</v>
      </c>
      <c r="C45" s="13">
        <f t="shared" si="4"/>
        <v>45016</v>
      </c>
      <c r="D45" s="35">
        <f t="shared" si="5"/>
        <v>1229.8497276987091</v>
      </c>
      <c r="E45" s="36">
        <f t="shared" si="6"/>
        <v>832.9998316791756</v>
      </c>
      <c r="F45" s="12">
        <f t="shared" si="7"/>
        <v>396.8498960195335</v>
      </c>
      <c r="G45" s="11">
        <f t="shared" si="8"/>
        <v>200</v>
      </c>
      <c r="H45" s="10">
        <f t="shared" si="9"/>
        <v>234603.1025781006</v>
      </c>
      <c r="I45" s="9">
        <f t="shared" si="0"/>
        <v>3</v>
      </c>
      <c r="J45" s="8">
        <f t="shared" si="1"/>
        <v>2023</v>
      </c>
      <c r="K45" s="1">
        <f t="shared" si="2"/>
        <v>44986</v>
      </c>
      <c r="L45" s="8"/>
    </row>
    <row r="46" spans="1:12" x14ac:dyDescent="0.35">
      <c r="A46">
        <v>28</v>
      </c>
      <c r="B46" s="13">
        <f t="shared" si="3"/>
        <v>44196</v>
      </c>
      <c r="C46" s="13">
        <f t="shared" si="4"/>
        <v>45046</v>
      </c>
      <c r="D46" s="35">
        <f t="shared" si="5"/>
        <v>1229.8497276987091</v>
      </c>
      <c r="E46" s="36">
        <f t="shared" si="6"/>
        <v>830.88598829743967</v>
      </c>
      <c r="F46" s="12">
        <f t="shared" si="7"/>
        <v>398.96373940126944</v>
      </c>
      <c r="G46" s="11">
        <f t="shared" si="8"/>
        <v>200</v>
      </c>
      <c r="H46" s="10">
        <f t="shared" si="9"/>
        <v>234004.13883869932</v>
      </c>
      <c r="I46" s="9">
        <f t="shared" si="0"/>
        <v>4</v>
      </c>
      <c r="J46" s="8">
        <f t="shared" si="1"/>
        <v>2023</v>
      </c>
      <c r="K46" s="1">
        <f t="shared" si="2"/>
        <v>45017</v>
      </c>
      <c r="L46" s="8"/>
    </row>
    <row r="47" spans="1:12" x14ac:dyDescent="0.35">
      <c r="A47">
        <v>29</v>
      </c>
      <c r="B47" s="13">
        <f t="shared" si="3"/>
        <v>44196</v>
      </c>
      <c r="C47" s="13">
        <f t="shared" si="4"/>
        <v>45077</v>
      </c>
      <c r="D47" s="35">
        <f t="shared" si="5"/>
        <v>1229.8497276987091</v>
      </c>
      <c r="E47" s="36">
        <f t="shared" si="6"/>
        <v>828.76465838706008</v>
      </c>
      <c r="F47" s="12">
        <f t="shared" si="7"/>
        <v>401.08506931164902</v>
      </c>
      <c r="G47" s="11">
        <f t="shared" si="8"/>
        <v>200</v>
      </c>
      <c r="H47" s="10">
        <f t="shared" si="9"/>
        <v>233403.05376938768</v>
      </c>
      <c r="I47" s="9">
        <f t="shared" si="0"/>
        <v>5</v>
      </c>
      <c r="J47" s="8">
        <f t="shared" si="1"/>
        <v>2023</v>
      </c>
      <c r="K47" s="1">
        <f t="shared" si="2"/>
        <v>45047</v>
      </c>
      <c r="L47" s="8"/>
    </row>
    <row r="48" spans="1:12" x14ac:dyDescent="0.35">
      <c r="A48">
        <v>30</v>
      </c>
      <c r="B48" s="13">
        <f t="shared" si="3"/>
        <v>44196</v>
      </c>
      <c r="C48" s="13">
        <f t="shared" si="4"/>
        <v>45107</v>
      </c>
      <c r="D48" s="35">
        <f t="shared" si="5"/>
        <v>1229.8497276987091</v>
      </c>
      <c r="E48" s="36">
        <f t="shared" si="6"/>
        <v>826.63581543324801</v>
      </c>
      <c r="F48" s="12">
        <f t="shared" si="7"/>
        <v>403.21391226546109</v>
      </c>
      <c r="G48" s="11">
        <f t="shared" si="8"/>
        <v>200</v>
      </c>
      <c r="H48" s="10">
        <f t="shared" si="9"/>
        <v>232799.83985712222</v>
      </c>
      <c r="I48" s="9">
        <f t="shared" si="0"/>
        <v>6</v>
      </c>
      <c r="J48" s="8">
        <f t="shared" si="1"/>
        <v>2023</v>
      </c>
      <c r="K48" s="1">
        <f t="shared" si="2"/>
        <v>45078</v>
      </c>
      <c r="L48" s="8"/>
    </row>
    <row r="49" spans="1:12" x14ac:dyDescent="0.35">
      <c r="A49">
        <v>31</v>
      </c>
      <c r="B49" s="13">
        <f t="shared" si="3"/>
        <v>44196</v>
      </c>
      <c r="C49" s="13">
        <f t="shared" si="4"/>
        <v>45138</v>
      </c>
      <c r="D49" s="35">
        <f t="shared" si="5"/>
        <v>1229.8497276987091</v>
      </c>
      <c r="E49" s="36">
        <f t="shared" si="6"/>
        <v>824.49943282730794</v>
      </c>
      <c r="F49" s="12">
        <f t="shared" si="7"/>
        <v>405.35029487140116</v>
      </c>
      <c r="G49" s="11">
        <f t="shared" si="8"/>
        <v>200</v>
      </c>
      <c r="H49" s="10">
        <f t="shared" si="9"/>
        <v>232194.48956225082</v>
      </c>
      <c r="I49" s="9">
        <f t="shared" si="0"/>
        <v>7</v>
      </c>
      <c r="J49" s="8">
        <f t="shared" si="1"/>
        <v>2023</v>
      </c>
      <c r="K49" s="1">
        <f t="shared" si="2"/>
        <v>45108</v>
      </c>
      <c r="L49" s="8"/>
    </row>
    <row r="50" spans="1:12" x14ac:dyDescent="0.35">
      <c r="A50">
        <v>32</v>
      </c>
      <c r="B50" s="13">
        <f t="shared" si="3"/>
        <v>44196</v>
      </c>
      <c r="C50" s="13">
        <f t="shared" si="4"/>
        <v>45169</v>
      </c>
      <c r="D50" s="35">
        <f t="shared" si="5"/>
        <v>1229.8497276987091</v>
      </c>
      <c r="E50" s="36">
        <f t="shared" si="6"/>
        <v>822.35548386630501</v>
      </c>
      <c r="F50" s="12">
        <f t="shared" si="7"/>
        <v>407.49424383240409</v>
      </c>
      <c r="G50" s="11">
        <f t="shared" si="8"/>
        <v>200</v>
      </c>
      <c r="H50" s="10">
        <f t="shared" si="9"/>
        <v>231586.99531841843</v>
      </c>
      <c r="I50" s="9">
        <f t="shared" si="0"/>
        <v>8</v>
      </c>
      <c r="J50" s="8">
        <f t="shared" si="1"/>
        <v>2023</v>
      </c>
      <c r="K50" s="1">
        <f t="shared" si="2"/>
        <v>45139</v>
      </c>
      <c r="L50" s="8"/>
    </row>
    <row r="51" spans="1:12" x14ac:dyDescent="0.35">
      <c r="A51">
        <v>33</v>
      </c>
      <c r="B51" s="13">
        <f t="shared" si="3"/>
        <v>44196</v>
      </c>
      <c r="C51" s="13">
        <f t="shared" si="4"/>
        <v>45199</v>
      </c>
      <c r="D51" s="35">
        <f t="shared" si="5"/>
        <v>1229.8497276987091</v>
      </c>
      <c r="E51" s="36">
        <f t="shared" si="6"/>
        <v>820.20394175273202</v>
      </c>
      <c r="F51" s="12">
        <f t="shared" si="7"/>
        <v>409.64578594597708</v>
      </c>
      <c r="G51" s="11">
        <f t="shared" si="8"/>
        <v>200</v>
      </c>
      <c r="H51" s="10">
        <f t="shared" si="9"/>
        <v>230977.34953247244</v>
      </c>
      <c r="I51" s="9">
        <f t="shared" si="0"/>
        <v>9</v>
      </c>
      <c r="J51" s="8">
        <f t="shared" si="1"/>
        <v>2023</v>
      </c>
      <c r="K51" s="1">
        <f t="shared" si="2"/>
        <v>45170</v>
      </c>
      <c r="L51" s="8"/>
    </row>
    <row r="52" spans="1:12" x14ac:dyDescent="0.35">
      <c r="A52">
        <v>34</v>
      </c>
      <c r="B52" s="13">
        <f t="shared" si="3"/>
        <v>44196</v>
      </c>
      <c r="C52" s="13">
        <f t="shared" si="4"/>
        <v>45230</v>
      </c>
      <c r="D52" s="35">
        <f t="shared" si="5"/>
        <v>1229.8497276987091</v>
      </c>
      <c r="E52" s="36">
        <f t="shared" si="6"/>
        <v>818.04477959417329</v>
      </c>
      <c r="F52" s="12">
        <f t="shared" si="7"/>
        <v>411.80494810453581</v>
      </c>
      <c r="G52" s="11">
        <f t="shared" si="8"/>
        <v>200</v>
      </c>
      <c r="H52" s="10">
        <f t="shared" si="9"/>
        <v>230365.54458436789</v>
      </c>
      <c r="I52" s="9">
        <f t="shared" si="0"/>
        <v>10</v>
      </c>
      <c r="J52" s="8">
        <f t="shared" si="1"/>
        <v>2023</v>
      </c>
      <c r="K52" s="1">
        <f t="shared" si="2"/>
        <v>45200</v>
      </c>
      <c r="L52" s="8"/>
    </row>
    <row r="53" spans="1:12" x14ac:dyDescent="0.35">
      <c r="A53">
        <v>35</v>
      </c>
      <c r="B53" s="13">
        <f t="shared" si="3"/>
        <v>44196</v>
      </c>
      <c r="C53" s="13">
        <f t="shared" si="4"/>
        <v>45260</v>
      </c>
      <c r="D53" s="35">
        <f t="shared" si="5"/>
        <v>1229.8497276987091</v>
      </c>
      <c r="E53" s="36">
        <f t="shared" si="6"/>
        <v>815.87797040296971</v>
      </c>
      <c r="F53" s="12">
        <f t="shared" si="7"/>
        <v>413.97175729573939</v>
      </c>
      <c r="G53" s="11">
        <f t="shared" si="8"/>
        <v>200</v>
      </c>
      <c r="H53" s="10">
        <f t="shared" si="9"/>
        <v>229751.57282707214</v>
      </c>
      <c r="I53" s="9">
        <f t="shared" si="0"/>
        <v>11</v>
      </c>
      <c r="J53" s="8">
        <f t="shared" si="1"/>
        <v>2023</v>
      </c>
      <c r="K53" s="1">
        <f t="shared" si="2"/>
        <v>45231</v>
      </c>
      <c r="L53" s="8"/>
    </row>
    <row r="54" spans="1:12" x14ac:dyDescent="0.35">
      <c r="A54">
        <v>36</v>
      </c>
      <c r="B54" s="13">
        <f t="shared" si="3"/>
        <v>44196</v>
      </c>
      <c r="C54" s="13">
        <f t="shared" si="4"/>
        <v>45291</v>
      </c>
      <c r="D54" s="35">
        <f t="shared" si="5"/>
        <v>1229.8497276987091</v>
      </c>
      <c r="E54" s="36">
        <f t="shared" si="6"/>
        <v>813.70348709588052</v>
      </c>
      <c r="F54" s="12">
        <f t="shared" si="7"/>
        <v>416.14624060282858</v>
      </c>
      <c r="G54" s="11">
        <f t="shared" si="8"/>
        <v>200</v>
      </c>
      <c r="H54" s="10">
        <f t="shared" si="9"/>
        <v>229135.42658646932</v>
      </c>
      <c r="I54" s="9">
        <f t="shared" si="0"/>
        <v>12</v>
      </c>
      <c r="J54" s="8">
        <f t="shared" si="1"/>
        <v>2023</v>
      </c>
      <c r="K54" s="1">
        <f t="shared" si="2"/>
        <v>45261</v>
      </c>
      <c r="L54" s="8"/>
    </row>
    <row r="55" spans="1:12" x14ac:dyDescent="0.35">
      <c r="A55">
        <v>37</v>
      </c>
      <c r="B55" s="13">
        <f t="shared" si="3"/>
        <v>44196</v>
      </c>
      <c r="C55" s="13">
        <f t="shared" si="4"/>
        <v>45322</v>
      </c>
      <c r="D55" s="35">
        <f t="shared" si="5"/>
        <v>1229.8497276987091</v>
      </c>
      <c r="E55" s="36">
        <f t="shared" si="6"/>
        <v>811.52130249374557</v>
      </c>
      <c r="F55" s="12">
        <f t="shared" si="7"/>
        <v>418.32842520496354</v>
      </c>
      <c r="G55" s="11">
        <f t="shared" si="8"/>
        <v>200</v>
      </c>
      <c r="H55" s="10">
        <f t="shared" si="9"/>
        <v>228517.09816126435</v>
      </c>
      <c r="I55" s="9">
        <f t="shared" si="0"/>
        <v>1</v>
      </c>
      <c r="J55" s="8">
        <f t="shared" si="1"/>
        <v>2024</v>
      </c>
      <c r="K55" s="1">
        <f t="shared" si="2"/>
        <v>45292</v>
      </c>
      <c r="L55" s="8"/>
    </row>
    <row r="56" spans="1:12" x14ac:dyDescent="0.35">
      <c r="A56">
        <v>38</v>
      </c>
      <c r="B56" s="13">
        <f t="shared" si="3"/>
        <v>44196</v>
      </c>
      <c r="C56" s="13">
        <f t="shared" si="4"/>
        <v>45351</v>
      </c>
      <c r="D56" s="35">
        <f t="shared" si="5"/>
        <v>1229.8497276987091</v>
      </c>
      <c r="E56" s="36">
        <f t="shared" si="6"/>
        <v>809.33138932114468</v>
      </c>
      <c r="F56" s="12">
        <f t="shared" si="7"/>
        <v>420.51833837756442</v>
      </c>
      <c r="G56" s="11">
        <f t="shared" si="8"/>
        <v>200</v>
      </c>
      <c r="H56" s="10">
        <f t="shared" si="9"/>
        <v>227896.57982288679</v>
      </c>
      <c r="I56" s="9">
        <f t="shared" si="0"/>
        <v>2</v>
      </c>
      <c r="J56" s="8">
        <f t="shared" si="1"/>
        <v>2024</v>
      </c>
      <c r="K56" s="1">
        <f t="shared" si="2"/>
        <v>45323</v>
      </c>
      <c r="L56" s="8"/>
    </row>
    <row r="57" spans="1:12" x14ac:dyDescent="0.35">
      <c r="A57">
        <v>39</v>
      </c>
      <c r="B57" s="13">
        <f t="shared" si="3"/>
        <v>44196</v>
      </c>
      <c r="C57" s="13">
        <f t="shared" si="4"/>
        <v>45382</v>
      </c>
      <c r="D57" s="35">
        <f t="shared" si="5"/>
        <v>1229.8497276987091</v>
      </c>
      <c r="E57" s="36">
        <f t="shared" si="6"/>
        <v>807.13372020605755</v>
      </c>
      <c r="F57" s="12">
        <f t="shared" si="7"/>
        <v>422.71600749265156</v>
      </c>
      <c r="G57" s="11">
        <f t="shared" si="8"/>
        <v>200</v>
      </c>
      <c r="H57" s="10">
        <f t="shared" si="9"/>
        <v>227273.86381539414</v>
      </c>
      <c r="I57" s="9">
        <f t="shared" si="0"/>
        <v>3</v>
      </c>
      <c r="J57" s="8">
        <f t="shared" si="1"/>
        <v>2024</v>
      </c>
      <c r="K57" s="1">
        <f t="shared" si="2"/>
        <v>45352</v>
      </c>
      <c r="L57" s="8"/>
    </row>
    <row r="58" spans="1:12" x14ac:dyDescent="0.35">
      <c r="A58">
        <v>40</v>
      </c>
      <c r="B58" s="13">
        <f t="shared" si="3"/>
        <v>44196</v>
      </c>
      <c r="C58" s="13">
        <f t="shared" si="4"/>
        <v>45412</v>
      </c>
      <c r="D58" s="35">
        <f t="shared" si="5"/>
        <v>1229.8497276987091</v>
      </c>
      <c r="E58" s="36">
        <f t="shared" si="6"/>
        <v>804.92826767952101</v>
      </c>
      <c r="F58" s="12">
        <f t="shared" si="7"/>
        <v>424.92146001918809</v>
      </c>
      <c r="G58" s="11">
        <f t="shared" si="8"/>
        <v>200</v>
      </c>
      <c r="H58" s="10">
        <f t="shared" si="9"/>
        <v>226648.94235537495</v>
      </c>
      <c r="I58" s="9">
        <f t="shared" si="0"/>
        <v>4</v>
      </c>
      <c r="J58" s="8">
        <f t="shared" si="1"/>
        <v>2024</v>
      </c>
      <c r="K58" s="1">
        <f t="shared" si="2"/>
        <v>45383</v>
      </c>
      <c r="L58" s="8"/>
    </row>
    <row r="59" spans="1:12" x14ac:dyDescent="0.35">
      <c r="A59">
        <v>41</v>
      </c>
      <c r="B59" s="13">
        <f t="shared" si="3"/>
        <v>44196</v>
      </c>
      <c r="C59" s="13">
        <f t="shared" si="4"/>
        <v>45443</v>
      </c>
      <c r="D59" s="35">
        <f t="shared" si="5"/>
        <v>1229.8497276987091</v>
      </c>
      <c r="E59" s="36">
        <f t="shared" si="6"/>
        <v>802.71500417528625</v>
      </c>
      <c r="F59" s="12">
        <f t="shared" si="7"/>
        <v>427.13472352342285</v>
      </c>
      <c r="G59" s="11">
        <f t="shared" si="8"/>
        <v>200</v>
      </c>
      <c r="H59" s="10">
        <f t="shared" si="9"/>
        <v>226021.80763185152</v>
      </c>
      <c r="I59" s="9">
        <f t="shared" si="0"/>
        <v>5</v>
      </c>
      <c r="J59" s="8">
        <f t="shared" si="1"/>
        <v>2024</v>
      </c>
      <c r="K59" s="1">
        <f t="shared" si="2"/>
        <v>45413</v>
      </c>
      <c r="L59" s="8"/>
    </row>
    <row r="60" spans="1:12" x14ac:dyDescent="0.35">
      <c r="A60">
        <v>42</v>
      </c>
      <c r="B60" s="13">
        <f t="shared" si="3"/>
        <v>44196</v>
      </c>
      <c r="C60" s="13">
        <f t="shared" si="4"/>
        <v>45473</v>
      </c>
      <c r="D60" s="35">
        <f t="shared" si="5"/>
        <v>1229.8497276987091</v>
      </c>
      <c r="E60" s="36">
        <f t="shared" si="6"/>
        <v>800.49390202947416</v>
      </c>
      <c r="F60" s="12">
        <f t="shared" si="7"/>
        <v>429.35582566923495</v>
      </c>
      <c r="G60" s="11">
        <f t="shared" si="8"/>
        <v>200</v>
      </c>
      <c r="H60" s="10">
        <f t="shared" si="9"/>
        <v>225392.45180618227</v>
      </c>
      <c r="I60" s="9">
        <f t="shared" si="0"/>
        <v>6</v>
      </c>
      <c r="J60" s="8">
        <f t="shared" si="1"/>
        <v>2024</v>
      </c>
      <c r="K60" s="1">
        <f t="shared" si="2"/>
        <v>45444</v>
      </c>
      <c r="L60" s="8"/>
    </row>
    <row r="61" spans="1:12" x14ac:dyDescent="0.35">
      <c r="A61">
        <v>43</v>
      </c>
      <c r="B61" s="13">
        <f t="shared" si="3"/>
        <v>44196</v>
      </c>
      <c r="C61" s="13">
        <f t="shared" si="4"/>
        <v>45504</v>
      </c>
      <c r="D61" s="35">
        <f t="shared" si="5"/>
        <v>1229.8497276987091</v>
      </c>
      <c r="E61" s="36">
        <f t="shared" si="6"/>
        <v>798.26493348022893</v>
      </c>
      <c r="F61" s="12">
        <f t="shared" si="7"/>
        <v>431.58479421848017</v>
      </c>
      <c r="G61" s="11">
        <f t="shared" si="8"/>
        <v>200</v>
      </c>
      <c r="H61" s="10">
        <f t="shared" si="9"/>
        <v>224760.8670119638</v>
      </c>
      <c r="I61" s="9">
        <f t="shared" si="0"/>
        <v>7</v>
      </c>
      <c r="J61" s="8">
        <f t="shared" si="1"/>
        <v>2024</v>
      </c>
      <c r="K61" s="1">
        <f t="shared" si="2"/>
        <v>45474</v>
      </c>
      <c r="L61" s="8"/>
    </row>
    <row r="62" spans="1:12" x14ac:dyDescent="0.35">
      <c r="A62">
        <v>44</v>
      </c>
      <c r="B62" s="13">
        <f t="shared" si="3"/>
        <v>44196</v>
      </c>
      <c r="C62" s="13">
        <f t="shared" si="4"/>
        <v>45535</v>
      </c>
      <c r="D62" s="35">
        <f t="shared" si="5"/>
        <v>1229.8497276987091</v>
      </c>
      <c r="E62" s="36">
        <f t="shared" si="6"/>
        <v>796.02807066737194</v>
      </c>
      <c r="F62" s="12">
        <f t="shared" si="7"/>
        <v>433.82165703133717</v>
      </c>
      <c r="G62" s="11">
        <f t="shared" si="8"/>
        <v>200</v>
      </c>
      <c r="H62" s="10">
        <f t="shared" si="9"/>
        <v>224127.04535493246</v>
      </c>
      <c r="I62" s="9">
        <f t="shared" si="0"/>
        <v>8</v>
      </c>
      <c r="J62" s="8">
        <f t="shared" si="1"/>
        <v>2024</v>
      </c>
      <c r="K62" s="1">
        <f t="shared" si="2"/>
        <v>45505</v>
      </c>
      <c r="L62" s="8"/>
    </row>
    <row r="63" spans="1:12" x14ac:dyDescent="0.35">
      <c r="A63">
        <v>45</v>
      </c>
      <c r="B63" s="13">
        <f t="shared" si="3"/>
        <v>44196</v>
      </c>
      <c r="C63" s="13">
        <f t="shared" si="4"/>
        <v>45565</v>
      </c>
      <c r="D63" s="35">
        <f t="shared" si="5"/>
        <v>1229.8497276987091</v>
      </c>
      <c r="E63" s="36">
        <f t="shared" si="6"/>
        <v>793.78328563205253</v>
      </c>
      <c r="F63" s="12">
        <f t="shared" si="7"/>
        <v>436.06644206665658</v>
      </c>
      <c r="G63" s="11">
        <f t="shared" si="8"/>
        <v>200</v>
      </c>
      <c r="H63" s="10">
        <f t="shared" si="9"/>
        <v>223490.9789128658</v>
      </c>
      <c r="I63" s="9">
        <f t="shared" si="0"/>
        <v>9</v>
      </c>
      <c r="J63" s="8">
        <f t="shared" si="1"/>
        <v>2024</v>
      </c>
      <c r="K63" s="1">
        <f t="shared" si="2"/>
        <v>45536</v>
      </c>
      <c r="L63" s="8"/>
    </row>
    <row r="64" spans="1:12" x14ac:dyDescent="0.35">
      <c r="A64">
        <v>46</v>
      </c>
      <c r="B64" s="13">
        <f t="shared" si="3"/>
        <v>44196</v>
      </c>
      <c r="C64" s="13">
        <f t="shared" si="4"/>
        <v>45596</v>
      </c>
      <c r="D64" s="35">
        <f t="shared" si="5"/>
        <v>1229.8497276987091</v>
      </c>
      <c r="E64" s="36">
        <f t="shared" si="6"/>
        <v>791.53055031639985</v>
      </c>
      <c r="F64" s="12">
        <f t="shared" si="7"/>
        <v>438.31917738230925</v>
      </c>
      <c r="G64" s="11">
        <f t="shared" si="8"/>
        <v>200</v>
      </c>
      <c r="H64" s="10">
        <f t="shared" si="9"/>
        <v>222852.6597354835</v>
      </c>
      <c r="I64" s="9">
        <f t="shared" si="0"/>
        <v>10</v>
      </c>
      <c r="J64" s="8">
        <f t="shared" si="1"/>
        <v>2024</v>
      </c>
      <c r="K64" s="1">
        <f t="shared" si="2"/>
        <v>45566</v>
      </c>
      <c r="L64" s="8"/>
    </row>
    <row r="65" spans="1:12" x14ac:dyDescent="0.35">
      <c r="A65">
        <v>47</v>
      </c>
      <c r="B65" s="13">
        <f t="shared" si="3"/>
        <v>44196</v>
      </c>
      <c r="C65" s="13">
        <f t="shared" si="4"/>
        <v>45626</v>
      </c>
      <c r="D65" s="35">
        <f t="shared" si="5"/>
        <v>1229.8497276987091</v>
      </c>
      <c r="E65" s="36">
        <f t="shared" si="6"/>
        <v>789.26983656317077</v>
      </c>
      <c r="F65" s="12">
        <f t="shared" si="7"/>
        <v>440.57989113553833</v>
      </c>
      <c r="G65" s="11">
        <f t="shared" si="8"/>
        <v>200</v>
      </c>
      <c r="H65" s="10">
        <f t="shared" si="9"/>
        <v>222212.07984434796</v>
      </c>
      <c r="I65" s="9">
        <f t="shared" si="0"/>
        <v>11</v>
      </c>
      <c r="J65" s="8">
        <f t="shared" si="1"/>
        <v>2024</v>
      </c>
      <c r="K65" s="1">
        <f t="shared" si="2"/>
        <v>45597</v>
      </c>
      <c r="L65" s="8"/>
    </row>
    <row r="66" spans="1:12" x14ac:dyDescent="0.35">
      <c r="A66">
        <v>48</v>
      </c>
      <c r="B66" s="13">
        <f t="shared" si="3"/>
        <v>44196</v>
      </c>
      <c r="C66" s="13">
        <f t="shared" si="4"/>
        <v>45657</v>
      </c>
      <c r="D66" s="35">
        <f t="shared" si="5"/>
        <v>1229.8497276987091</v>
      </c>
      <c r="E66" s="36">
        <f t="shared" si="6"/>
        <v>787.00111611539899</v>
      </c>
      <c r="F66" s="12">
        <f t="shared" si="7"/>
        <v>442.84861158331012</v>
      </c>
      <c r="G66" s="11">
        <f t="shared" si="8"/>
        <v>200</v>
      </c>
      <c r="H66" s="10">
        <f t="shared" si="9"/>
        <v>221569.23123276464</v>
      </c>
      <c r="I66" s="9">
        <f t="shared" si="0"/>
        <v>12</v>
      </c>
      <c r="J66" s="8">
        <f t="shared" si="1"/>
        <v>2024</v>
      </c>
      <c r="K66" s="1">
        <f t="shared" si="2"/>
        <v>45627</v>
      </c>
      <c r="L66" s="8"/>
    </row>
    <row r="67" spans="1:12" x14ac:dyDescent="0.35">
      <c r="A67">
        <v>49</v>
      </c>
      <c r="B67" s="13">
        <f t="shared" si="3"/>
        <v>44196</v>
      </c>
      <c r="C67" s="13">
        <f t="shared" si="4"/>
        <v>45688</v>
      </c>
      <c r="D67" s="35">
        <f t="shared" si="5"/>
        <v>1229.8497276987091</v>
      </c>
      <c r="E67" s="36">
        <f t="shared" si="6"/>
        <v>784.72436061604151</v>
      </c>
      <c r="F67" s="12">
        <f t="shared" si="7"/>
        <v>445.12536708266759</v>
      </c>
      <c r="G67" s="11">
        <f t="shared" si="8"/>
        <v>200</v>
      </c>
      <c r="H67" s="10">
        <f t="shared" si="9"/>
        <v>220924.10586568198</v>
      </c>
      <c r="I67" s="9">
        <f t="shared" si="0"/>
        <v>1</v>
      </c>
      <c r="J67" s="8">
        <f t="shared" si="1"/>
        <v>2025</v>
      </c>
      <c r="K67" s="1">
        <f t="shared" si="2"/>
        <v>45658</v>
      </c>
      <c r="L67" s="8"/>
    </row>
    <row r="68" spans="1:12" x14ac:dyDescent="0.35">
      <c r="A68">
        <v>50</v>
      </c>
      <c r="B68" s="13">
        <f t="shared" si="3"/>
        <v>44196</v>
      </c>
      <c r="C68" s="13">
        <f t="shared" si="4"/>
        <v>45716</v>
      </c>
      <c r="D68" s="35">
        <f t="shared" si="5"/>
        <v>1229.8497276987091</v>
      </c>
      <c r="E68" s="36">
        <f t="shared" si="6"/>
        <v>782.43954160762371</v>
      </c>
      <c r="F68" s="12">
        <f t="shared" si="7"/>
        <v>447.41018609108539</v>
      </c>
      <c r="G68" s="11">
        <f t="shared" si="8"/>
        <v>200</v>
      </c>
      <c r="H68" s="10">
        <f t="shared" si="9"/>
        <v>220276.69567959089</v>
      </c>
      <c r="I68" s="9">
        <f t="shared" si="0"/>
        <v>2</v>
      </c>
      <c r="J68" s="8">
        <f t="shared" si="1"/>
        <v>2025</v>
      </c>
      <c r="K68" s="1">
        <f t="shared" si="2"/>
        <v>45689</v>
      </c>
      <c r="L68" s="8"/>
    </row>
    <row r="69" spans="1:12" x14ac:dyDescent="0.35">
      <c r="A69">
        <v>51</v>
      </c>
      <c r="B69" s="13">
        <f t="shared" si="3"/>
        <v>44196</v>
      </c>
      <c r="C69" s="13">
        <f t="shared" si="4"/>
        <v>45747</v>
      </c>
      <c r="D69" s="35">
        <f t="shared" si="5"/>
        <v>1229.8497276987091</v>
      </c>
      <c r="E69" s="36">
        <f t="shared" si="6"/>
        <v>780.14663053188451</v>
      </c>
      <c r="F69" s="12">
        <f t="shared" si="7"/>
        <v>449.70309716682459</v>
      </c>
      <c r="G69" s="11">
        <f t="shared" si="8"/>
        <v>200</v>
      </c>
      <c r="H69" s="10">
        <f t="shared" si="9"/>
        <v>219626.99258242408</v>
      </c>
      <c r="I69" s="9">
        <f t="shared" si="0"/>
        <v>3</v>
      </c>
      <c r="J69" s="8">
        <f t="shared" si="1"/>
        <v>2025</v>
      </c>
      <c r="K69" s="1">
        <f t="shared" si="2"/>
        <v>45717</v>
      </c>
      <c r="L69" s="8"/>
    </row>
    <row r="70" spans="1:12" x14ac:dyDescent="0.35">
      <c r="A70">
        <v>52</v>
      </c>
      <c r="B70" s="13">
        <f t="shared" si="3"/>
        <v>44196</v>
      </c>
      <c r="C70" s="13">
        <f t="shared" si="4"/>
        <v>45777</v>
      </c>
      <c r="D70" s="35">
        <f t="shared" si="5"/>
        <v>1229.8497276987091</v>
      </c>
      <c r="E70" s="36">
        <f t="shared" si="6"/>
        <v>777.84559872941873</v>
      </c>
      <c r="F70" s="12">
        <f t="shared" si="7"/>
        <v>452.00412896929038</v>
      </c>
      <c r="G70" s="11">
        <f t="shared" si="8"/>
        <v>200</v>
      </c>
      <c r="H70" s="10">
        <f t="shared" si="9"/>
        <v>218974.98845345477</v>
      </c>
      <c r="I70" s="9">
        <f t="shared" si="0"/>
        <v>4</v>
      </c>
      <c r="J70" s="8">
        <f t="shared" si="1"/>
        <v>2025</v>
      </c>
      <c r="K70" s="1">
        <f t="shared" si="2"/>
        <v>45748</v>
      </c>
      <c r="L70" s="8"/>
    </row>
    <row r="71" spans="1:12" x14ac:dyDescent="0.35">
      <c r="A71">
        <v>53</v>
      </c>
      <c r="B71" s="13">
        <f t="shared" si="3"/>
        <v>44196</v>
      </c>
      <c r="C71" s="13">
        <f t="shared" si="4"/>
        <v>45808</v>
      </c>
      <c r="D71" s="35">
        <f t="shared" si="5"/>
        <v>1229.8497276987091</v>
      </c>
      <c r="E71" s="36">
        <f t="shared" si="6"/>
        <v>775.53641743931905</v>
      </c>
      <c r="F71" s="12">
        <f t="shared" si="7"/>
        <v>454.31331025939005</v>
      </c>
      <c r="G71" s="11">
        <f t="shared" si="8"/>
        <v>200</v>
      </c>
      <c r="H71" s="10">
        <f t="shared" si="9"/>
        <v>218320.67514319537</v>
      </c>
      <c r="I71" s="9">
        <f t="shared" si="0"/>
        <v>5</v>
      </c>
      <c r="J71" s="8">
        <f t="shared" si="1"/>
        <v>2025</v>
      </c>
      <c r="K71" s="1">
        <f t="shared" si="2"/>
        <v>45778</v>
      </c>
      <c r="L71" s="8"/>
    </row>
    <row r="72" spans="1:12" x14ac:dyDescent="0.35">
      <c r="A72">
        <v>54</v>
      </c>
      <c r="B72" s="13">
        <f t="shared" si="3"/>
        <v>44196</v>
      </c>
      <c r="C72" s="13">
        <f t="shared" si="4"/>
        <v>45838</v>
      </c>
      <c r="D72" s="35">
        <f t="shared" si="5"/>
        <v>1229.8497276987091</v>
      </c>
      <c r="E72" s="36">
        <f t="shared" si="6"/>
        <v>773.21905779881706</v>
      </c>
      <c r="F72" s="12">
        <f t="shared" si="7"/>
        <v>456.63066989989204</v>
      </c>
      <c r="G72" s="11">
        <f t="shared" si="8"/>
        <v>200</v>
      </c>
      <c r="H72" s="10">
        <f t="shared" si="9"/>
        <v>217664.04447329548</v>
      </c>
      <c r="I72" s="9">
        <f t="shared" si="0"/>
        <v>6</v>
      </c>
      <c r="J72" s="8">
        <f t="shared" si="1"/>
        <v>2025</v>
      </c>
      <c r="K72" s="1">
        <f t="shared" si="2"/>
        <v>45809</v>
      </c>
      <c r="L72" s="8"/>
    </row>
    <row r="73" spans="1:12" x14ac:dyDescent="0.35">
      <c r="A73">
        <v>55</v>
      </c>
      <c r="B73" s="13">
        <f t="shared" si="3"/>
        <v>44196</v>
      </c>
      <c r="C73" s="13">
        <f t="shared" si="4"/>
        <v>45869</v>
      </c>
      <c r="D73" s="35">
        <f t="shared" si="5"/>
        <v>1229.8497276987091</v>
      </c>
      <c r="E73" s="36">
        <f t="shared" si="6"/>
        <v>770.89349084292155</v>
      </c>
      <c r="F73" s="12">
        <f t="shared" si="7"/>
        <v>458.95623685578755</v>
      </c>
      <c r="G73" s="11">
        <f t="shared" si="8"/>
        <v>200</v>
      </c>
      <c r="H73" s="10">
        <f t="shared" si="9"/>
        <v>217005.08823643968</v>
      </c>
      <c r="I73" s="9">
        <f t="shared" si="0"/>
        <v>7</v>
      </c>
      <c r="J73" s="8">
        <f t="shared" si="1"/>
        <v>2025</v>
      </c>
      <c r="K73" s="1">
        <f t="shared" si="2"/>
        <v>45839</v>
      </c>
      <c r="L73" s="8"/>
    </row>
    <row r="74" spans="1:12" x14ac:dyDescent="0.35">
      <c r="A74">
        <v>56</v>
      </c>
      <c r="B74" s="13">
        <f t="shared" si="3"/>
        <v>44196</v>
      </c>
      <c r="C74" s="13">
        <f t="shared" si="4"/>
        <v>45900</v>
      </c>
      <c r="D74" s="35">
        <f t="shared" si="5"/>
        <v>1229.8497276987091</v>
      </c>
      <c r="E74" s="36">
        <f t="shared" si="6"/>
        <v>768.55968750405725</v>
      </c>
      <c r="F74" s="12">
        <f t="shared" si="7"/>
        <v>461.29004019465185</v>
      </c>
      <c r="G74" s="11">
        <f t="shared" si="8"/>
        <v>200</v>
      </c>
      <c r="H74" s="10">
        <f t="shared" si="9"/>
        <v>216343.79819624504</v>
      </c>
      <c r="I74" s="9">
        <f t="shared" si="0"/>
        <v>8</v>
      </c>
      <c r="J74" s="8">
        <f t="shared" si="1"/>
        <v>2025</v>
      </c>
      <c r="K74" s="1">
        <f t="shared" si="2"/>
        <v>45870</v>
      </c>
      <c r="L74" s="8"/>
    </row>
    <row r="75" spans="1:12" x14ac:dyDescent="0.35">
      <c r="A75">
        <v>57</v>
      </c>
      <c r="B75" s="13">
        <f t="shared" si="3"/>
        <v>44196</v>
      </c>
      <c r="C75" s="13">
        <f t="shared" si="4"/>
        <v>45930</v>
      </c>
      <c r="D75" s="35">
        <f t="shared" si="5"/>
        <v>1229.8497276987091</v>
      </c>
      <c r="E75" s="36">
        <f t="shared" si="6"/>
        <v>766.21761861170125</v>
      </c>
      <c r="F75" s="12">
        <f t="shared" si="7"/>
        <v>463.63210908700785</v>
      </c>
      <c r="G75" s="11">
        <f t="shared" si="8"/>
        <v>200</v>
      </c>
      <c r="H75" s="10">
        <f t="shared" si="9"/>
        <v>215680.16608715802</v>
      </c>
      <c r="I75" s="9">
        <f t="shared" si="0"/>
        <v>9</v>
      </c>
      <c r="J75" s="8">
        <f t="shared" si="1"/>
        <v>2025</v>
      </c>
      <c r="K75" s="1">
        <f t="shared" si="2"/>
        <v>45901</v>
      </c>
      <c r="L75" s="8"/>
    </row>
    <row r="76" spans="1:12" x14ac:dyDescent="0.35">
      <c r="A76">
        <v>58</v>
      </c>
      <c r="B76" s="13">
        <f t="shared" si="3"/>
        <v>44196</v>
      </c>
      <c r="C76" s="13">
        <f t="shared" si="4"/>
        <v>45961</v>
      </c>
      <c r="D76" s="35">
        <f t="shared" si="5"/>
        <v>1229.8497276987091</v>
      </c>
      <c r="E76" s="36">
        <f t="shared" si="6"/>
        <v>763.86725489201808</v>
      </c>
      <c r="F76" s="12">
        <f t="shared" si="7"/>
        <v>465.98247280669102</v>
      </c>
      <c r="G76" s="11">
        <f t="shared" si="8"/>
        <v>200</v>
      </c>
      <c r="H76" s="10">
        <f t="shared" si="9"/>
        <v>215014.18361435132</v>
      </c>
      <c r="I76" s="9">
        <f t="shared" si="0"/>
        <v>10</v>
      </c>
      <c r="J76" s="8">
        <f t="shared" si="1"/>
        <v>2025</v>
      </c>
      <c r="K76" s="1">
        <f t="shared" si="2"/>
        <v>45931</v>
      </c>
      <c r="L76" s="8"/>
    </row>
    <row r="77" spans="1:12" x14ac:dyDescent="0.35">
      <c r="A77">
        <v>59</v>
      </c>
      <c r="B77" s="13">
        <f t="shared" si="3"/>
        <v>44196</v>
      </c>
      <c r="C77" s="13">
        <f t="shared" si="4"/>
        <v>45991</v>
      </c>
      <c r="D77" s="35">
        <f t="shared" si="5"/>
        <v>1229.8497276987091</v>
      </c>
      <c r="E77" s="36">
        <f t="shared" si="6"/>
        <v>761.5085669674944</v>
      </c>
      <c r="F77" s="12">
        <f t="shared" si="7"/>
        <v>468.3411607312147</v>
      </c>
      <c r="G77" s="11">
        <f t="shared" si="8"/>
        <v>200</v>
      </c>
      <c r="H77" s="10">
        <f t="shared" si="9"/>
        <v>214345.84245362011</v>
      </c>
      <c r="I77" s="9">
        <f t="shared" si="0"/>
        <v>11</v>
      </c>
      <c r="J77" s="8">
        <f t="shared" si="1"/>
        <v>2025</v>
      </c>
      <c r="K77" s="1">
        <f t="shared" si="2"/>
        <v>45962</v>
      </c>
      <c r="L77" s="8"/>
    </row>
    <row r="78" spans="1:12" x14ac:dyDescent="0.35">
      <c r="A78">
        <v>60</v>
      </c>
      <c r="B78" s="13">
        <f t="shared" si="3"/>
        <v>44196</v>
      </c>
      <c r="C78" s="13">
        <f t="shared" si="4"/>
        <v>46022</v>
      </c>
      <c r="D78" s="35">
        <f t="shared" si="5"/>
        <v>1229.8497276987091</v>
      </c>
      <c r="E78" s="36">
        <f t="shared" si="6"/>
        <v>759.14152535657115</v>
      </c>
      <c r="F78" s="12">
        <f t="shared" si="7"/>
        <v>470.70820234213795</v>
      </c>
      <c r="G78" s="11">
        <f t="shared" si="8"/>
        <v>200</v>
      </c>
      <c r="H78" s="10">
        <f t="shared" si="9"/>
        <v>213675.13425127798</v>
      </c>
      <c r="I78" s="9">
        <f t="shared" si="0"/>
        <v>12</v>
      </c>
      <c r="J78" s="8">
        <f t="shared" si="1"/>
        <v>2025</v>
      </c>
      <c r="K78" s="1">
        <f t="shared" si="2"/>
        <v>45992</v>
      </c>
      <c r="L78" s="8"/>
    </row>
    <row r="79" spans="1:12" x14ac:dyDescent="0.35">
      <c r="A79">
        <v>61</v>
      </c>
      <c r="B79" s="13">
        <f t="shared" si="3"/>
        <v>44196</v>
      </c>
      <c r="C79" s="13">
        <f t="shared" si="4"/>
        <v>46053</v>
      </c>
      <c r="D79" s="35">
        <f t="shared" si="5"/>
        <v>1229.8497276987091</v>
      </c>
      <c r="E79" s="36">
        <f t="shared" si="6"/>
        <v>756.76610047327631</v>
      </c>
      <c r="F79" s="12">
        <f t="shared" si="7"/>
        <v>473.08362722543279</v>
      </c>
      <c r="G79" s="11">
        <f t="shared" si="8"/>
        <v>200</v>
      </c>
      <c r="H79" s="10">
        <f t="shared" si="9"/>
        <v>213002.05062405256</v>
      </c>
      <c r="I79" s="9">
        <f t="shared" si="0"/>
        <v>1</v>
      </c>
      <c r="J79" s="8">
        <f t="shared" si="1"/>
        <v>2026</v>
      </c>
      <c r="K79" s="1">
        <f t="shared" si="2"/>
        <v>46023</v>
      </c>
      <c r="L79" s="8"/>
    </row>
    <row r="80" spans="1:12" x14ac:dyDescent="0.35">
      <c r="A80">
        <v>62</v>
      </c>
      <c r="B80" s="13">
        <f t="shared" si="3"/>
        <v>44196</v>
      </c>
      <c r="C80" s="13">
        <f t="shared" si="4"/>
        <v>46081</v>
      </c>
      <c r="D80" s="35">
        <f t="shared" si="5"/>
        <v>1229.8497276987091</v>
      </c>
      <c r="E80" s="36">
        <f t="shared" si="6"/>
        <v>754.38226262685293</v>
      </c>
      <c r="F80" s="12">
        <f t="shared" si="7"/>
        <v>475.46746507185617</v>
      </c>
      <c r="G80" s="11">
        <f t="shared" si="8"/>
        <v>200</v>
      </c>
      <c r="H80" s="10">
        <f t="shared" si="9"/>
        <v>212326.58315898071</v>
      </c>
      <c r="I80" s="9">
        <f t="shared" si="0"/>
        <v>2</v>
      </c>
      <c r="J80" s="8">
        <f t="shared" si="1"/>
        <v>2026</v>
      </c>
      <c r="K80" s="1">
        <f t="shared" si="2"/>
        <v>46054</v>
      </c>
      <c r="L80" s="8"/>
    </row>
    <row r="81" spans="1:12" x14ac:dyDescent="0.35">
      <c r="A81">
        <v>63</v>
      </c>
      <c r="B81" s="13">
        <f t="shared" si="3"/>
        <v>44196</v>
      </c>
      <c r="C81" s="13">
        <f t="shared" si="4"/>
        <v>46112</v>
      </c>
      <c r="D81" s="35">
        <f t="shared" si="5"/>
        <v>1229.8497276987091</v>
      </c>
      <c r="E81" s="36">
        <f t="shared" si="6"/>
        <v>751.98998202139001</v>
      </c>
      <c r="F81" s="12">
        <f t="shared" si="7"/>
        <v>477.8597456773191</v>
      </c>
      <c r="G81" s="11">
        <f t="shared" si="8"/>
        <v>200</v>
      </c>
      <c r="H81" s="10">
        <f t="shared" si="9"/>
        <v>211648.72341330338</v>
      </c>
      <c r="I81" s="9">
        <f t="shared" si="0"/>
        <v>3</v>
      </c>
      <c r="J81" s="8">
        <f t="shared" si="1"/>
        <v>2026</v>
      </c>
      <c r="K81" s="1">
        <f t="shared" si="2"/>
        <v>46082</v>
      </c>
      <c r="L81" s="8"/>
    </row>
    <row r="82" spans="1:12" x14ac:dyDescent="0.35">
      <c r="A82">
        <v>64</v>
      </c>
      <c r="B82" s="13">
        <f t="shared" si="3"/>
        <v>44196</v>
      </c>
      <c r="C82" s="13">
        <f t="shared" si="4"/>
        <v>46142</v>
      </c>
      <c r="D82" s="35">
        <f t="shared" si="5"/>
        <v>1229.8497276987091</v>
      </c>
      <c r="E82" s="36">
        <f t="shared" si="6"/>
        <v>749.58922875544943</v>
      </c>
      <c r="F82" s="12">
        <f t="shared" si="7"/>
        <v>480.26049894325968</v>
      </c>
      <c r="G82" s="11">
        <f t="shared" si="8"/>
        <v>200</v>
      </c>
      <c r="H82" s="10">
        <f t="shared" si="9"/>
        <v>210968.46291436011</v>
      </c>
      <c r="I82" s="9">
        <f t="shared" si="0"/>
        <v>4</v>
      </c>
      <c r="J82" s="8">
        <f t="shared" si="1"/>
        <v>2026</v>
      </c>
      <c r="K82" s="1">
        <f t="shared" si="2"/>
        <v>46113</v>
      </c>
      <c r="L82" s="8"/>
    </row>
    <row r="83" spans="1:12" x14ac:dyDescent="0.35">
      <c r="A83">
        <v>65</v>
      </c>
      <c r="B83" s="13">
        <f t="shared" si="3"/>
        <v>44196</v>
      </c>
      <c r="C83" s="13">
        <f t="shared" si="4"/>
        <v>46173</v>
      </c>
      <c r="D83" s="35">
        <f t="shared" si="5"/>
        <v>1229.8497276987091</v>
      </c>
      <c r="E83" s="36">
        <f t="shared" si="6"/>
        <v>747.1799728216921</v>
      </c>
      <c r="F83" s="12">
        <f t="shared" si="7"/>
        <v>482.669754877017</v>
      </c>
      <c r="G83" s="11">
        <f t="shared" si="8"/>
        <v>200</v>
      </c>
      <c r="H83" s="10">
        <f t="shared" si="9"/>
        <v>210285.79315948309</v>
      </c>
      <c r="I83" s="9">
        <f t="shared" ref="I83:I146" si="10">MONTH(C83)</f>
        <v>5</v>
      </c>
      <c r="J83" s="8">
        <f t="shared" ref="J83:J146" si="11">YEAR(C83)</f>
        <v>2026</v>
      </c>
      <c r="K83" s="1">
        <f t="shared" ref="K83:K146" si="12">DATE(J83,(I83),1)</f>
        <v>46143</v>
      </c>
      <c r="L83" s="8"/>
    </row>
    <row r="84" spans="1:12" x14ac:dyDescent="0.35">
      <c r="A84">
        <v>66</v>
      </c>
      <c r="B84" s="13">
        <f t="shared" ref="B84:B147" si="13">$D$16</f>
        <v>44196</v>
      </c>
      <c r="C84" s="13">
        <f t="shared" ref="C84:C147" si="14">EDATE(B84,A84)</f>
        <v>46203</v>
      </c>
      <c r="D84" s="35">
        <f t="shared" ref="D84:D147" si="15">IF(AND(ISNUMBER(H83), H83 &gt; $D$4), $D$4, IF(AND(ISNUMBER(H83), H83 &gt; 0), H83 + E84, "Paid Off"))</f>
        <v>1229.8497276987091</v>
      </c>
      <c r="E84" s="36">
        <f t="shared" ref="E84:E147" si="16">IFERROR(H83 * $D$2 / 12, "N/A")</f>
        <v>744.76218410650256</v>
      </c>
      <c r="F84" s="12">
        <f t="shared" ref="F84:F147" si="17">IFERROR(D84 - E84, "N/A")</f>
        <v>485.08754359220654</v>
      </c>
      <c r="G84" s="11">
        <f t="shared" ref="G84:G147" si="18">IF(ISNUMBER(H83), IF(H83 - F84 &gt; $D$5, $D$5, IF(H83 - F84 &gt; 0, H83 - F84, 0)), "N/A")</f>
        <v>200</v>
      </c>
      <c r="H84" s="10">
        <f t="shared" ref="H84:H147" si="19">IFERROR(IF(H83 - F84 - G84 &gt; 0, H83 - F84 - G84, "Paid Off"), "Paid Off")</f>
        <v>209600.70561589088</v>
      </c>
      <c r="I84" s="9">
        <f t="shared" si="10"/>
        <v>6</v>
      </c>
      <c r="J84" s="8">
        <f t="shared" si="11"/>
        <v>2026</v>
      </c>
      <c r="K84" s="1">
        <f t="shared" si="12"/>
        <v>46174</v>
      </c>
      <c r="L84" s="8"/>
    </row>
    <row r="85" spans="1:12" x14ac:dyDescent="0.35">
      <c r="A85">
        <v>67</v>
      </c>
      <c r="B85" s="13">
        <f t="shared" si="13"/>
        <v>44196</v>
      </c>
      <c r="C85" s="13">
        <f t="shared" si="14"/>
        <v>46234</v>
      </c>
      <c r="D85" s="35">
        <f t="shared" si="15"/>
        <v>1229.8497276987091</v>
      </c>
      <c r="E85" s="36">
        <f t="shared" si="16"/>
        <v>742.33583238961364</v>
      </c>
      <c r="F85" s="12">
        <f t="shared" si="17"/>
        <v>487.51389530909546</v>
      </c>
      <c r="G85" s="11">
        <f t="shared" si="18"/>
        <v>200</v>
      </c>
      <c r="H85" s="10">
        <f t="shared" si="19"/>
        <v>208913.19172058179</v>
      </c>
      <c r="I85" s="9">
        <f t="shared" si="10"/>
        <v>7</v>
      </c>
      <c r="J85" s="8">
        <f t="shared" si="11"/>
        <v>2026</v>
      </c>
      <c r="K85" s="1">
        <f t="shared" si="12"/>
        <v>46204</v>
      </c>
      <c r="L85" s="8"/>
    </row>
    <row r="86" spans="1:12" x14ac:dyDescent="0.35">
      <c r="A86">
        <v>68</v>
      </c>
      <c r="B86" s="13">
        <f t="shared" si="13"/>
        <v>44196</v>
      </c>
      <c r="C86" s="13">
        <f t="shared" si="14"/>
        <v>46265</v>
      </c>
      <c r="D86" s="35">
        <f t="shared" si="15"/>
        <v>1229.8497276987091</v>
      </c>
      <c r="E86" s="36">
        <f t="shared" si="16"/>
        <v>739.90088734372728</v>
      </c>
      <c r="F86" s="12">
        <f t="shared" si="17"/>
        <v>489.94884035498183</v>
      </c>
      <c r="G86" s="11">
        <f t="shared" si="18"/>
        <v>200</v>
      </c>
      <c r="H86" s="10">
        <f t="shared" si="19"/>
        <v>208223.24288022681</v>
      </c>
      <c r="I86" s="9">
        <f t="shared" si="10"/>
        <v>8</v>
      </c>
      <c r="J86" s="8">
        <f t="shared" si="11"/>
        <v>2026</v>
      </c>
      <c r="K86" s="1">
        <f t="shared" si="12"/>
        <v>46235</v>
      </c>
      <c r="L86" s="8"/>
    </row>
    <row r="87" spans="1:12" x14ac:dyDescent="0.35">
      <c r="A87">
        <v>69</v>
      </c>
      <c r="B87" s="13">
        <f t="shared" si="13"/>
        <v>44196</v>
      </c>
      <c r="C87" s="13">
        <f t="shared" si="14"/>
        <v>46295</v>
      </c>
      <c r="D87" s="35">
        <f t="shared" si="15"/>
        <v>1229.8497276987091</v>
      </c>
      <c r="E87" s="36">
        <f t="shared" si="16"/>
        <v>737.45731853413679</v>
      </c>
      <c r="F87" s="12">
        <f t="shared" si="17"/>
        <v>492.39240916457231</v>
      </c>
      <c r="G87" s="11">
        <f t="shared" si="18"/>
        <v>200</v>
      </c>
      <c r="H87" s="10">
        <f t="shared" si="19"/>
        <v>207530.85047106224</v>
      </c>
      <c r="I87" s="9">
        <f t="shared" si="10"/>
        <v>9</v>
      </c>
      <c r="J87" s="8">
        <f t="shared" si="11"/>
        <v>2026</v>
      </c>
      <c r="K87" s="1">
        <f t="shared" si="12"/>
        <v>46266</v>
      </c>
      <c r="L87" s="8"/>
    </row>
    <row r="88" spans="1:12" x14ac:dyDescent="0.35">
      <c r="A88">
        <v>70</v>
      </c>
      <c r="B88" s="13">
        <f t="shared" si="13"/>
        <v>44196</v>
      </c>
      <c r="C88" s="13">
        <f t="shared" si="14"/>
        <v>46326</v>
      </c>
      <c r="D88" s="35">
        <f t="shared" si="15"/>
        <v>1229.8497276987091</v>
      </c>
      <c r="E88" s="36">
        <f t="shared" si="16"/>
        <v>735.00509541834538</v>
      </c>
      <c r="F88" s="12">
        <f t="shared" si="17"/>
        <v>494.84463228036373</v>
      </c>
      <c r="G88" s="11">
        <f t="shared" si="18"/>
        <v>200</v>
      </c>
      <c r="H88" s="10">
        <f t="shared" si="19"/>
        <v>206836.00583878189</v>
      </c>
      <c r="I88" s="9">
        <f t="shared" si="10"/>
        <v>10</v>
      </c>
      <c r="J88" s="8">
        <f t="shared" si="11"/>
        <v>2026</v>
      </c>
      <c r="K88" s="1">
        <f t="shared" si="12"/>
        <v>46296</v>
      </c>
      <c r="L88" s="8"/>
    </row>
    <row r="89" spans="1:12" x14ac:dyDescent="0.35">
      <c r="A89">
        <v>71</v>
      </c>
      <c r="B89" s="13">
        <f t="shared" si="13"/>
        <v>44196</v>
      </c>
      <c r="C89" s="13">
        <f t="shared" si="14"/>
        <v>46356</v>
      </c>
      <c r="D89" s="35">
        <f t="shared" si="15"/>
        <v>1229.8497276987091</v>
      </c>
      <c r="E89" s="36">
        <f t="shared" si="16"/>
        <v>732.54418734568583</v>
      </c>
      <c r="F89" s="12">
        <f t="shared" si="17"/>
        <v>497.30554035302328</v>
      </c>
      <c r="G89" s="11">
        <f t="shared" si="18"/>
        <v>200</v>
      </c>
      <c r="H89" s="10">
        <f t="shared" si="19"/>
        <v>206138.70029842886</v>
      </c>
      <c r="I89" s="9">
        <f t="shared" si="10"/>
        <v>11</v>
      </c>
      <c r="J89" s="8">
        <f t="shared" si="11"/>
        <v>2026</v>
      </c>
      <c r="K89" s="1">
        <f t="shared" si="12"/>
        <v>46327</v>
      </c>
      <c r="L89" s="8"/>
    </row>
    <row r="90" spans="1:12" x14ac:dyDescent="0.35">
      <c r="A90">
        <v>72</v>
      </c>
      <c r="B90" s="13">
        <f t="shared" si="13"/>
        <v>44196</v>
      </c>
      <c r="C90" s="13">
        <f t="shared" si="14"/>
        <v>46387</v>
      </c>
      <c r="D90" s="35">
        <f t="shared" si="15"/>
        <v>1229.8497276987091</v>
      </c>
      <c r="E90" s="36">
        <f t="shared" si="16"/>
        <v>730.07456355693557</v>
      </c>
      <c r="F90" s="12">
        <f t="shared" si="17"/>
        <v>499.77516414177353</v>
      </c>
      <c r="G90" s="11">
        <f t="shared" si="18"/>
        <v>200</v>
      </c>
      <c r="H90" s="10">
        <f t="shared" si="19"/>
        <v>205438.92513428707</v>
      </c>
      <c r="I90" s="9">
        <f t="shared" si="10"/>
        <v>12</v>
      </c>
      <c r="J90" s="8">
        <f t="shared" si="11"/>
        <v>2026</v>
      </c>
      <c r="K90" s="1">
        <f t="shared" si="12"/>
        <v>46357</v>
      </c>
      <c r="L90" s="8"/>
    </row>
    <row r="91" spans="1:12" x14ac:dyDescent="0.35">
      <c r="A91">
        <v>73</v>
      </c>
      <c r="B91" s="13">
        <f t="shared" si="13"/>
        <v>44196</v>
      </c>
      <c r="C91" s="13">
        <f t="shared" si="14"/>
        <v>46418</v>
      </c>
      <c r="D91" s="35">
        <f t="shared" si="15"/>
        <v>1229.8497276987091</v>
      </c>
      <c r="E91" s="36">
        <f t="shared" si="16"/>
        <v>727.59619318393345</v>
      </c>
      <c r="F91" s="12">
        <f t="shared" si="17"/>
        <v>502.25353451477565</v>
      </c>
      <c r="G91" s="11">
        <f t="shared" si="18"/>
        <v>200</v>
      </c>
      <c r="H91" s="10">
        <f t="shared" si="19"/>
        <v>204736.67159977229</v>
      </c>
      <c r="I91" s="9">
        <f t="shared" si="10"/>
        <v>1</v>
      </c>
      <c r="J91" s="8">
        <f t="shared" si="11"/>
        <v>2027</v>
      </c>
      <c r="K91" s="1">
        <f t="shared" si="12"/>
        <v>46388</v>
      </c>
      <c r="L91" s="8"/>
    </row>
    <row r="92" spans="1:12" x14ac:dyDescent="0.35">
      <c r="A92">
        <v>74</v>
      </c>
      <c r="B92" s="13">
        <f t="shared" si="13"/>
        <v>44196</v>
      </c>
      <c r="C92" s="13">
        <f t="shared" si="14"/>
        <v>46446</v>
      </c>
      <c r="D92" s="35">
        <f t="shared" si="15"/>
        <v>1229.8497276987091</v>
      </c>
      <c r="E92" s="36">
        <f t="shared" si="16"/>
        <v>725.10904524919363</v>
      </c>
      <c r="F92" s="12">
        <f t="shared" si="17"/>
        <v>504.74068244951548</v>
      </c>
      <c r="G92" s="11">
        <f t="shared" si="18"/>
        <v>200</v>
      </c>
      <c r="H92" s="10">
        <f t="shared" si="19"/>
        <v>204031.93091732278</v>
      </c>
      <c r="I92" s="9">
        <f t="shared" si="10"/>
        <v>2</v>
      </c>
      <c r="J92" s="8">
        <f t="shared" si="11"/>
        <v>2027</v>
      </c>
      <c r="K92" s="1">
        <f t="shared" si="12"/>
        <v>46419</v>
      </c>
      <c r="L92" s="8"/>
    </row>
    <row r="93" spans="1:12" x14ac:dyDescent="0.35">
      <c r="A93">
        <v>75</v>
      </c>
      <c r="B93" s="13">
        <f t="shared" si="13"/>
        <v>44196</v>
      </c>
      <c r="C93" s="13">
        <f t="shared" si="14"/>
        <v>46477</v>
      </c>
      <c r="D93" s="35">
        <f t="shared" si="15"/>
        <v>1229.8497276987091</v>
      </c>
      <c r="E93" s="36">
        <f t="shared" si="16"/>
        <v>722.61308866551826</v>
      </c>
      <c r="F93" s="12">
        <f t="shared" si="17"/>
        <v>507.23663903319084</v>
      </c>
      <c r="G93" s="11">
        <f t="shared" si="18"/>
        <v>200</v>
      </c>
      <c r="H93" s="10">
        <f t="shared" si="19"/>
        <v>203324.69427828959</v>
      </c>
      <c r="I93" s="9">
        <f t="shared" si="10"/>
        <v>3</v>
      </c>
      <c r="J93" s="8">
        <f t="shared" si="11"/>
        <v>2027</v>
      </c>
      <c r="K93" s="1">
        <f t="shared" si="12"/>
        <v>46447</v>
      </c>
      <c r="L93" s="8"/>
    </row>
    <row r="94" spans="1:12" x14ac:dyDescent="0.35">
      <c r="A94">
        <v>76</v>
      </c>
      <c r="B94" s="13">
        <f t="shared" si="13"/>
        <v>44196</v>
      </c>
      <c r="C94" s="13">
        <f t="shared" si="14"/>
        <v>46507</v>
      </c>
      <c r="D94" s="35">
        <f t="shared" si="15"/>
        <v>1229.8497276987091</v>
      </c>
      <c r="E94" s="36">
        <f t="shared" si="16"/>
        <v>720.10829223560904</v>
      </c>
      <c r="F94" s="12">
        <f t="shared" si="17"/>
        <v>509.74143546310006</v>
      </c>
      <c r="G94" s="11">
        <f t="shared" si="18"/>
        <v>200</v>
      </c>
      <c r="H94" s="10">
        <f t="shared" si="19"/>
        <v>202614.95284282649</v>
      </c>
      <c r="I94" s="9">
        <f t="shared" si="10"/>
        <v>4</v>
      </c>
      <c r="J94" s="8">
        <f t="shared" si="11"/>
        <v>2027</v>
      </c>
      <c r="K94" s="1">
        <f t="shared" si="12"/>
        <v>46478</v>
      </c>
      <c r="L94" s="8"/>
    </row>
    <row r="95" spans="1:12" x14ac:dyDescent="0.35">
      <c r="A95">
        <v>77</v>
      </c>
      <c r="B95" s="13">
        <f t="shared" si="13"/>
        <v>44196</v>
      </c>
      <c r="C95" s="13">
        <f t="shared" si="14"/>
        <v>46538</v>
      </c>
      <c r="D95" s="35">
        <f t="shared" si="15"/>
        <v>1229.8497276987091</v>
      </c>
      <c r="E95" s="36">
        <f t="shared" si="16"/>
        <v>717.59462465167724</v>
      </c>
      <c r="F95" s="12">
        <f t="shared" si="17"/>
        <v>512.25510304703187</v>
      </c>
      <c r="G95" s="11">
        <f t="shared" si="18"/>
        <v>200</v>
      </c>
      <c r="H95" s="10">
        <f t="shared" si="19"/>
        <v>201902.69773977945</v>
      </c>
      <c r="I95" s="9">
        <f t="shared" si="10"/>
        <v>5</v>
      </c>
      <c r="J95" s="8">
        <f t="shared" si="11"/>
        <v>2027</v>
      </c>
      <c r="K95" s="1">
        <f t="shared" si="12"/>
        <v>46508</v>
      </c>
      <c r="L95" s="8"/>
    </row>
    <row r="96" spans="1:12" x14ac:dyDescent="0.35">
      <c r="A96">
        <v>78</v>
      </c>
      <c r="B96" s="13">
        <f t="shared" si="13"/>
        <v>44196</v>
      </c>
      <c r="C96" s="13">
        <f t="shared" si="14"/>
        <v>46568</v>
      </c>
      <c r="D96" s="35">
        <f t="shared" si="15"/>
        <v>1229.8497276987091</v>
      </c>
      <c r="E96" s="36">
        <f t="shared" si="16"/>
        <v>715.07205449505227</v>
      </c>
      <c r="F96" s="12">
        <f t="shared" si="17"/>
        <v>514.77767320365683</v>
      </c>
      <c r="G96" s="11">
        <f t="shared" si="18"/>
        <v>200</v>
      </c>
      <c r="H96" s="10">
        <f t="shared" si="19"/>
        <v>201187.92006657581</v>
      </c>
      <c r="I96" s="9">
        <f t="shared" si="10"/>
        <v>6</v>
      </c>
      <c r="J96" s="8">
        <f t="shared" si="11"/>
        <v>2027</v>
      </c>
      <c r="K96" s="1">
        <f t="shared" si="12"/>
        <v>46539</v>
      </c>
      <c r="L96" s="8"/>
    </row>
    <row r="97" spans="1:12" x14ac:dyDescent="0.35">
      <c r="A97">
        <v>79</v>
      </c>
      <c r="B97" s="13">
        <f t="shared" si="13"/>
        <v>44196</v>
      </c>
      <c r="C97" s="13">
        <f t="shared" si="14"/>
        <v>46599</v>
      </c>
      <c r="D97" s="35">
        <f t="shared" si="15"/>
        <v>1229.8497276987091</v>
      </c>
      <c r="E97" s="36">
        <f t="shared" si="16"/>
        <v>712.5405502357894</v>
      </c>
      <c r="F97" s="12">
        <f t="shared" si="17"/>
        <v>517.30917746291971</v>
      </c>
      <c r="G97" s="11">
        <f t="shared" si="18"/>
        <v>200</v>
      </c>
      <c r="H97" s="10">
        <f t="shared" si="19"/>
        <v>200470.6108891129</v>
      </c>
      <c r="I97" s="9">
        <f t="shared" si="10"/>
        <v>7</v>
      </c>
      <c r="J97" s="8">
        <f t="shared" si="11"/>
        <v>2027</v>
      </c>
      <c r="K97" s="1">
        <f t="shared" si="12"/>
        <v>46569</v>
      </c>
      <c r="L97" s="8"/>
    </row>
    <row r="98" spans="1:12" x14ac:dyDescent="0.35">
      <c r="A98">
        <v>80</v>
      </c>
      <c r="B98" s="13">
        <f t="shared" si="13"/>
        <v>44196</v>
      </c>
      <c r="C98" s="13">
        <f t="shared" si="14"/>
        <v>46630</v>
      </c>
      <c r="D98" s="35">
        <f t="shared" si="15"/>
        <v>1229.8497276987091</v>
      </c>
      <c r="E98" s="36">
        <f t="shared" si="16"/>
        <v>710.00008023227485</v>
      </c>
      <c r="F98" s="12">
        <f t="shared" si="17"/>
        <v>519.84964746643425</v>
      </c>
      <c r="G98" s="11">
        <f t="shared" si="18"/>
        <v>200</v>
      </c>
      <c r="H98" s="10">
        <f t="shared" si="19"/>
        <v>199750.76124164645</v>
      </c>
      <c r="I98" s="9">
        <f t="shared" si="10"/>
        <v>8</v>
      </c>
      <c r="J98" s="8">
        <f t="shared" si="11"/>
        <v>2027</v>
      </c>
      <c r="K98" s="1">
        <f t="shared" si="12"/>
        <v>46600</v>
      </c>
      <c r="L98" s="8"/>
    </row>
    <row r="99" spans="1:12" x14ac:dyDescent="0.35">
      <c r="A99">
        <v>81</v>
      </c>
      <c r="B99" s="13">
        <f t="shared" si="13"/>
        <v>44196</v>
      </c>
      <c r="C99" s="13">
        <f t="shared" si="14"/>
        <v>46660</v>
      </c>
      <c r="D99" s="35">
        <f t="shared" si="15"/>
        <v>1229.8497276987091</v>
      </c>
      <c r="E99" s="36">
        <f t="shared" si="16"/>
        <v>707.45061273083127</v>
      </c>
      <c r="F99" s="12">
        <f t="shared" si="17"/>
        <v>522.39911496787784</v>
      </c>
      <c r="G99" s="11">
        <f t="shared" si="18"/>
        <v>200</v>
      </c>
      <c r="H99" s="10">
        <f t="shared" si="19"/>
        <v>199028.36212667858</v>
      </c>
      <c r="I99" s="9">
        <f t="shared" si="10"/>
        <v>9</v>
      </c>
      <c r="J99" s="8">
        <f t="shared" si="11"/>
        <v>2027</v>
      </c>
      <c r="K99" s="1">
        <f t="shared" si="12"/>
        <v>46631</v>
      </c>
      <c r="L99" s="8"/>
    </row>
    <row r="100" spans="1:12" x14ac:dyDescent="0.35">
      <c r="A100">
        <v>82</v>
      </c>
      <c r="B100" s="13">
        <f t="shared" si="13"/>
        <v>44196</v>
      </c>
      <c r="C100" s="13">
        <f t="shared" si="14"/>
        <v>46691</v>
      </c>
      <c r="D100" s="35">
        <f t="shared" si="15"/>
        <v>1229.8497276987091</v>
      </c>
      <c r="E100" s="36">
        <f t="shared" si="16"/>
        <v>704.89211586532008</v>
      </c>
      <c r="F100" s="12">
        <f t="shared" si="17"/>
        <v>524.95761183338902</v>
      </c>
      <c r="G100" s="11">
        <f t="shared" si="18"/>
        <v>200</v>
      </c>
      <c r="H100" s="10">
        <f t="shared" si="19"/>
        <v>198303.4045148452</v>
      </c>
      <c r="I100" s="9">
        <f t="shared" si="10"/>
        <v>10</v>
      </c>
      <c r="J100" s="8">
        <f t="shared" si="11"/>
        <v>2027</v>
      </c>
      <c r="K100" s="1">
        <f t="shared" si="12"/>
        <v>46661</v>
      </c>
      <c r="L100" s="8"/>
    </row>
    <row r="101" spans="1:12" x14ac:dyDescent="0.35">
      <c r="A101">
        <v>83</v>
      </c>
      <c r="B101" s="13">
        <f t="shared" si="13"/>
        <v>44196</v>
      </c>
      <c r="C101" s="13">
        <f t="shared" si="14"/>
        <v>46721</v>
      </c>
      <c r="D101" s="35">
        <f t="shared" si="15"/>
        <v>1229.8497276987091</v>
      </c>
      <c r="E101" s="36">
        <f t="shared" si="16"/>
        <v>702.32455765674342</v>
      </c>
      <c r="F101" s="12">
        <f t="shared" si="17"/>
        <v>527.52517004196568</v>
      </c>
      <c r="G101" s="11">
        <f t="shared" si="18"/>
        <v>200</v>
      </c>
      <c r="H101" s="10">
        <f t="shared" si="19"/>
        <v>197575.87934480322</v>
      </c>
      <c r="I101" s="9">
        <f t="shared" si="10"/>
        <v>11</v>
      </c>
      <c r="J101" s="8">
        <f t="shared" si="11"/>
        <v>2027</v>
      </c>
      <c r="K101" s="1">
        <f t="shared" si="12"/>
        <v>46692</v>
      </c>
      <c r="L101" s="8"/>
    </row>
    <row r="102" spans="1:12" x14ac:dyDescent="0.35">
      <c r="A102">
        <v>84</v>
      </c>
      <c r="B102" s="13">
        <f t="shared" si="13"/>
        <v>44196</v>
      </c>
      <c r="C102" s="13">
        <f t="shared" si="14"/>
        <v>46752</v>
      </c>
      <c r="D102" s="35">
        <f t="shared" si="15"/>
        <v>1229.8497276987091</v>
      </c>
      <c r="E102" s="36">
        <f t="shared" si="16"/>
        <v>699.74790601284485</v>
      </c>
      <c r="F102" s="12">
        <f t="shared" si="17"/>
        <v>530.10182168586425</v>
      </c>
      <c r="G102" s="11">
        <f t="shared" si="18"/>
        <v>200</v>
      </c>
      <c r="H102" s="10">
        <f t="shared" si="19"/>
        <v>196845.77752311737</v>
      </c>
      <c r="I102" s="9">
        <f t="shared" si="10"/>
        <v>12</v>
      </c>
      <c r="J102" s="8">
        <f t="shared" si="11"/>
        <v>2027</v>
      </c>
      <c r="K102" s="1">
        <f t="shared" si="12"/>
        <v>46722</v>
      </c>
      <c r="L102" s="8"/>
    </row>
    <row r="103" spans="1:12" x14ac:dyDescent="0.35">
      <c r="A103">
        <v>85</v>
      </c>
      <c r="B103" s="13">
        <f t="shared" si="13"/>
        <v>44196</v>
      </c>
      <c r="C103" s="13">
        <f t="shared" si="14"/>
        <v>46783</v>
      </c>
      <c r="D103" s="35">
        <f t="shared" si="15"/>
        <v>1229.8497276987091</v>
      </c>
      <c r="E103" s="36">
        <f t="shared" si="16"/>
        <v>697.16212872770745</v>
      </c>
      <c r="F103" s="12">
        <f t="shared" si="17"/>
        <v>532.68759897100165</v>
      </c>
      <c r="G103" s="11">
        <f t="shared" si="18"/>
        <v>200</v>
      </c>
      <c r="H103" s="10">
        <f t="shared" si="19"/>
        <v>196113.08992414636</v>
      </c>
      <c r="I103" s="9">
        <f t="shared" si="10"/>
        <v>1</v>
      </c>
      <c r="J103" s="8">
        <f t="shared" si="11"/>
        <v>2028</v>
      </c>
      <c r="K103" s="1">
        <f t="shared" si="12"/>
        <v>46753</v>
      </c>
      <c r="L103" s="8"/>
    </row>
    <row r="104" spans="1:12" x14ac:dyDescent="0.35">
      <c r="A104">
        <v>86</v>
      </c>
      <c r="B104" s="13">
        <f t="shared" si="13"/>
        <v>44196</v>
      </c>
      <c r="C104" s="13">
        <f t="shared" si="14"/>
        <v>46812</v>
      </c>
      <c r="D104" s="35">
        <f t="shared" si="15"/>
        <v>1229.8497276987091</v>
      </c>
      <c r="E104" s="36">
        <f t="shared" si="16"/>
        <v>694.56719348135175</v>
      </c>
      <c r="F104" s="12">
        <f t="shared" si="17"/>
        <v>535.28253421735735</v>
      </c>
      <c r="G104" s="11">
        <f t="shared" si="18"/>
        <v>200</v>
      </c>
      <c r="H104" s="10">
        <f t="shared" si="19"/>
        <v>195377.80738992902</v>
      </c>
      <c r="I104" s="9">
        <f t="shared" si="10"/>
        <v>2</v>
      </c>
      <c r="J104" s="8">
        <f t="shared" si="11"/>
        <v>2028</v>
      </c>
      <c r="K104" s="1">
        <f t="shared" si="12"/>
        <v>46784</v>
      </c>
      <c r="L104" s="8"/>
    </row>
    <row r="105" spans="1:12" x14ac:dyDescent="0.35">
      <c r="A105">
        <v>87</v>
      </c>
      <c r="B105" s="13">
        <f t="shared" si="13"/>
        <v>44196</v>
      </c>
      <c r="C105" s="13">
        <f t="shared" si="14"/>
        <v>46843</v>
      </c>
      <c r="D105" s="35">
        <f t="shared" si="15"/>
        <v>1229.8497276987091</v>
      </c>
      <c r="E105" s="36">
        <f t="shared" si="16"/>
        <v>691.96306783933198</v>
      </c>
      <c r="F105" s="12">
        <f t="shared" si="17"/>
        <v>537.88665985937712</v>
      </c>
      <c r="G105" s="11">
        <f t="shared" si="18"/>
        <v>200</v>
      </c>
      <c r="H105" s="10">
        <f t="shared" si="19"/>
        <v>194639.92073006963</v>
      </c>
      <c r="I105" s="9">
        <f t="shared" si="10"/>
        <v>3</v>
      </c>
      <c r="J105" s="8">
        <f t="shared" si="11"/>
        <v>2028</v>
      </c>
      <c r="K105" s="1">
        <f t="shared" si="12"/>
        <v>46813</v>
      </c>
      <c r="L105" s="8"/>
    </row>
    <row r="106" spans="1:12" x14ac:dyDescent="0.35">
      <c r="A106">
        <v>88</v>
      </c>
      <c r="B106" s="13">
        <f t="shared" si="13"/>
        <v>44196</v>
      </c>
      <c r="C106" s="13">
        <f t="shared" si="14"/>
        <v>46873</v>
      </c>
      <c r="D106" s="35">
        <f t="shared" si="15"/>
        <v>1229.8497276987091</v>
      </c>
      <c r="E106" s="36">
        <f t="shared" si="16"/>
        <v>689.34971925233003</v>
      </c>
      <c r="F106" s="12">
        <f t="shared" si="17"/>
        <v>540.50000844637907</v>
      </c>
      <c r="G106" s="11">
        <f t="shared" si="18"/>
        <v>200</v>
      </c>
      <c r="H106" s="10">
        <f t="shared" si="19"/>
        <v>193899.42072162326</v>
      </c>
      <c r="I106" s="9">
        <f t="shared" si="10"/>
        <v>4</v>
      </c>
      <c r="J106" s="8">
        <f t="shared" si="11"/>
        <v>2028</v>
      </c>
      <c r="K106" s="1">
        <f t="shared" si="12"/>
        <v>46844</v>
      </c>
      <c r="L106" s="8"/>
    </row>
    <row r="107" spans="1:12" x14ac:dyDescent="0.35">
      <c r="A107">
        <v>89</v>
      </c>
      <c r="B107" s="13">
        <f t="shared" si="13"/>
        <v>44196</v>
      </c>
      <c r="C107" s="13">
        <f t="shared" si="14"/>
        <v>46904</v>
      </c>
      <c r="D107" s="35">
        <f t="shared" si="15"/>
        <v>1229.8497276987091</v>
      </c>
      <c r="E107" s="36">
        <f t="shared" si="16"/>
        <v>686.7271150557491</v>
      </c>
      <c r="F107" s="12">
        <f t="shared" si="17"/>
        <v>543.12261264296001</v>
      </c>
      <c r="G107" s="11">
        <f t="shared" si="18"/>
        <v>200</v>
      </c>
      <c r="H107" s="10">
        <f t="shared" si="19"/>
        <v>193156.29810898029</v>
      </c>
      <c r="I107" s="9">
        <f t="shared" si="10"/>
        <v>5</v>
      </c>
      <c r="J107" s="8">
        <f t="shared" si="11"/>
        <v>2028</v>
      </c>
      <c r="K107" s="1">
        <f t="shared" si="12"/>
        <v>46874</v>
      </c>
      <c r="L107" s="8"/>
    </row>
    <row r="108" spans="1:12" x14ac:dyDescent="0.35">
      <c r="A108">
        <v>90</v>
      </c>
      <c r="B108" s="13">
        <f t="shared" si="13"/>
        <v>44196</v>
      </c>
      <c r="C108" s="13">
        <f t="shared" si="14"/>
        <v>46934</v>
      </c>
      <c r="D108" s="35">
        <f t="shared" si="15"/>
        <v>1229.8497276987091</v>
      </c>
      <c r="E108" s="36">
        <f t="shared" si="16"/>
        <v>684.09522246930521</v>
      </c>
      <c r="F108" s="12">
        <f t="shared" si="17"/>
        <v>545.75450522940389</v>
      </c>
      <c r="G108" s="11">
        <f t="shared" si="18"/>
        <v>200</v>
      </c>
      <c r="H108" s="10">
        <f t="shared" si="19"/>
        <v>192410.54360375088</v>
      </c>
      <c r="I108" s="9">
        <f t="shared" si="10"/>
        <v>6</v>
      </c>
      <c r="J108" s="8">
        <f t="shared" si="11"/>
        <v>2028</v>
      </c>
      <c r="K108" s="1">
        <f t="shared" si="12"/>
        <v>46905</v>
      </c>
      <c r="L108" s="8"/>
    </row>
    <row r="109" spans="1:12" x14ac:dyDescent="0.35">
      <c r="A109">
        <v>91</v>
      </c>
      <c r="B109" s="13">
        <f t="shared" si="13"/>
        <v>44196</v>
      </c>
      <c r="C109" s="13">
        <f t="shared" si="14"/>
        <v>46965</v>
      </c>
      <c r="D109" s="35">
        <f t="shared" si="15"/>
        <v>1229.8497276987091</v>
      </c>
      <c r="E109" s="36">
        <f t="shared" si="16"/>
        <v>681.45400859661777</v>
      </c>
      <c r="F109" s="12">
        <f t="shared" si="17"/>
        <v>548.39571910209133</v>
      </c>
      <c r="G109" s="11">
        <f t="shared" si="18"/>
        <v>200</v>
      </c>
      <c r="H109" s="10">
        <f t="shared" si="19"/>
        <v>191662.14788464879</v>
      </c>
      <c r="I109" s="9">
        <f t="shared" si="10"/>
        <v>7</v>
      </c>
      <c r="J109" s="8">
        <f t="shared" si="11"/>
        <v>2028</v>
      </c>
      <c r="K109" s="1">
        <f t="shared" si="12"/>
        <v>46935</v>
      </c>
      <c r="L109" s="8"/>
    </row>
    <row r="110" spans="1:12" x14ac:dyDescent="0.35">
      <c r="A110">
        <v>92</v>
      </c>
      <c r="B110" s="13">
        <f t="shared" si="13"/>
        <v>44196</v>
      </c>
      <c r="C110" s="13">
        <f t="shared" si="14"/>
        <v>46996</v>
      </c>
      <c r="D110" s="35">
        <f t="shared" si="15"/>
        <v>1229.8497276987091</v>
      </c>
      <c r="E110" s="36">
        <f t="shared" si="16"/>
        <v>678.80344042479783</v>
      </c>
      <c r="F110" s="12">
        <f t="shared" si="17"/>
        <v>551.04628727391128</v>
      </c>
      <c r="G110" s="11">
        <f t="shared" si="18"/>
        <v>200</v>
      </c>
      <c r="H110" s="10">
        <f t="shared" si="19"/>
        <v>190911.10159737489</v>
      </c>
      <c r="I110" s="9">
        <f t="shared" si="10"/>
        <v>8</v>
      </c>
      <c r="J110" s="8">
        <f t="shared" si="11"/>
        <v>2028</v>
      </c>
      <c r="K110" s="1">
        <f t="shared" si="12"/>
        <v>46966</v>
      </c>
      <c r="L110" s="8"/>
    </row>
    <row r="111" spans="1:12" x14ac:dyDescent="0.35">
      <c r="A111">
        <v>93</v>
      </c>
      <c r="B111" s="13">
        <f t="shared" si="13"/>
        <v>44196</v>
      </c>
      <c r="C111" s="13">
        <f t="shared" si="14"/>
        <v>47026</v>
      </c>
      <c r="D111" s="35">
        <f t="shared" si="15"/>
        <v>1229.8497276987091</v>
      </c>
      <c r="E111" s="36">
        <f t="shared" si="16"/>
        <v>676.14348482403614</v>
      </c>
      <c r="F111" s="12">
        <f t="shared" si="17"/>
        <v>553.70624287467297</v>
      </c>
      <c r="G111" s="11">
        <f t="shared" si="18"/>
        <v>200</v>
      </c>
      <c r="H111" s="10">
        <f t="shared" si="19"/>
        <v>190157.39535450022</v>
      </c>
      <c r="I111" s="9">
        <f t="shared" si="10"/>
        <v>9</v>
      </c>
      <c r="J111" s="8">
        <f t="shared" si="11"/>
        <v>2028</v>
      </c>
      <c r="K111" s="1">
        <f t="shared" si="12"/>
        <v>46997</v>
      </c>
      <c r="L111" s="8"/>
    </row>
    <row r="112" spans="1:12" x14ac:dyDescent="0.35">
      <c r="A112">
        <v>94</v>
      </c>
      <c r="B112" s="13">
        <f t="shared" si="13"/>
        <v>44196</v>
      </c>
      <c r="C112" s="13">
        <f t="shared" si="14"/>
        <v>47057</v>
      </c>
      <c r="D112" s="35">
        <f t="shared" si="15"/>
        <v>1229.8497276987091</v>
      </c>
      <c r="E112" s="36">
        <f t="shared" si="16"/>
        <v>673.47410854718828</v>
      </c>
      <c r="F112" s="12">
        <f t="shared" si="17"/>
        <v>556.37561915152082</v>
      </c>
      <c r="G112" s="11">
        <f t="shared" si="18"/>
        <v>200</v>
      </c>
      <c r="H112" s="10">
        <f t="shared" si="19"/>
        <v>189401.0197353487</v>
      </c>
      <c r="I112" s="9">
        <f t="shared" si="10"/>
        <v>10</v>
      </c>
      <c r="J112" s="8">
        <f t="shared" si="11"/>
        <v>2028</v>
      </c>
      <c r="K112" s="1">
        <f t="shared" si="12"/>
        <v>47027</v>
      </c>
      <c r="L112" s="8"/>
    </row>
    <row r="113" spans="1:12" x14ac:dyDescent="0.35">
      <c r="A113">
        <v>95</v>
      </c>
      <c r="B113" s="13">
        <f t="shared" si="13"/>
        <v>44196</v>
      </c>
      <c r="C113" s="13">
        <f t="shared" si="14"/>
        <v>47087</v>
      </c>
      <c r="D113" s="35">
        <f t="shared" si="15"/>
        <v>1229.8497276987091</v>
      </c>
      <c r="E113" s="36">
        <f t="shared" si="16"/>
        <v>670.79527822936006</v>
      </c>
      <c r="F113" s="12">
        <f t="shared" si="17"/>
        <v>559.05444946934904</v>
      </c>
      <c r="G113" s="11">
        <f t="shared" si="18"/>
        <v>200</v>
      </c>
      <c r="H113" s="10">
        <f t="shared" si="19"/>
        <v>188641.96528587936</v>
      </c>
      <c r="I113" s="9">
        <f t="shared" si="10"/>
        <v>11</v>
      </c>
      <c r="J113" s="8">
        <f t="shared" si="11"/>
        <v>2028</v>
      </c>
      <c r="K113" s="1">
        <f t="shared" si="12"/>
        <v>47058</v>
      </c>
      <c r="L113" s="8"/>
    </row>
    <row r="114" spans="1:12" x14ac:dyDescent="0.35">
      <c r="A114">
        <v>96</v>
      </c>
      <c r="B114" s="13">
        <f t="shared" si="13"/>
        <v>44196</v>
      </c>
      <c r="C114" s="13">
        <f t="shared" si="14"/>
        <v>47118</v>
      </c>
      <c r="D114" s="35">
        <f t="shared" si="15"/>
        <v>1229.8497276987091</v>
      </c>
      <c r="E114" s="36">
        <f t="shared" si="16"/>
        <v>668.10696038748949</v>
      </c>
      <c r="F114" s="12">
        <f t="shared" si="17"/>
        <v>561.74276731121961</v>
      </c>
      <c r="G114" s="11">
        <f t="shared" si="18"/>
        <v>200</v>
      </c>
      <c r="H114" s="10">
        <f t="shared" si="19"/>
        <v>187880.22251856813</v>
      </c>
      <c r="I114" s="9">
        <f t="shared" si="10"/>
        <v>12</v>
      </c>
      <c r="J114" s="8">
        <f t="shared" si="11"/>
        <v>2028</v>
      </c>
      <c r="K114" s="1">
        <f t="shared" si="12"/>
        <v>47088</v>
      </c>
      <c r="L114" s="8"/>
    </row>
    <row r="115" spans="1:12" x14ac:dyDescent="0.35">
      <c r="A115">
        <v>97</v>
      </c>
      <c r="B115" s="13">
        <f t="shared" si="13"/>
        <v>44196</v>
      </c>
      <c r="C115" s="13">
        <f t="shared" si="14"/>
        <v>47149</v>
      </c>
      <c r="D115" s="35">
        <f t="shared" si="15"/>
        <v>1229.8497276987091</v>
      </c>
      <c r="E115" s="36">
        <f t="shared" si="16"/>
        <v>665.40912141992885</v>
      </c>
      <c r="F115" s="12">
        <f t="shared" si="17"/>
        <v>564.44060627878025</v>
      </c>
      <c r="G115" s="11">
        <f t="shared" si="18"/>
        <v>200</v>
      </c>
      <c r="H115" s="10">
        <f t="shared" si="19"/>
        <v>187115.78191228936</v>
      </c>
      <c r="I115" s="9">
        <f t="shared" si="10"/>
        <v>1</v>
      </c>
      <c r="J115" s="8">
        <f t="shared" si="11"/>
        <v>2029</v>
      </c>
      <c r="K115" s="1">
        <f t="shared" si="12"/>
        <v>47119</v>
      </c>
      <c r="L115" s="8"/>
    </row>
    <row r="116" spans="1:12" x14ac:dyDescent="0.35">
      <c r="A116">
        <v>98</v>
      </c>
      <c r="B116" s="13">
        <f t="shared" si="13"/>
        <v>44196</v>
      </c>
      <c r="C116" s="13">
        <f t="shared" si="14"/>
        <v>47177</v>
      </c>
      <c r="D116" s="35">
        <f t="shared" si="15"/>
        <v>1229.8497276987091</v>
      </c>
      <c r="E116" s="36">
        <f t="shared" si="16"/>
        <v>662.70172760602486</v>
      </c>
      <c r="F116" s="12">
        <f t="shared" si="17"/>
        <v>567.14800009268424</v>
      </c>
      <c r="G116" s="11">
        <f t="shared" si="18"/>
        <v>200</v>
      </c>
      <c r="H116" s="10">
        <f t="shared" si="19"/>
        <v>186348.63391219667</v>
      </c>
      <c r="I116" s="9">
        <f t="shared" si="10"/>
        <v>2</v>
      </c>
      <c r="J116" s="8">
        <f t="shared" si="11"/>
        <v>2029</v>
      </c>
      <c r="K116" s="1">
        <f t="shared" si="12"/>
        <v>47150</v>
      </c>
      <c r="L116" s="8"/>
    </row>
    <row r="117" spans="1:12" x14ac:dyDescent="0.35">
      <c r="A117">
        <v>99</v>
      </c>
      <c r="B117" s="13">
        <f t="shared" si="13"/>
        <v>44196</v>
      </c>
      <c r="C117" s="13">
        <f t="shared" si="14"/>
        <v>47208</v>
      </c>
      <c r="D117" s="35">
        <f t="shared" si="15"/>
        <v>1229.8497276987091</v>
      </c>
      <c r="E117" s="36">
        <f t="shared" si="16"/>
        <v>659.98474510569656</v>
      </c>
      <c r="F117" s="12">
        <f t="shared" si="17"/>
        <v>569.86498259301254</v>
      </c>
      <c r="G117" s="11">
        <f t="shared" si="18"/>
        <v>200</v>
      </c>
      <c r="H117" s="10">
        <f t="shared" si="19"/>
        <v>185578.76892960366</v>
      </c>
      <c r="I117" s="9">
        <f t="shared" si="10"/>
        <v>3</v>
      </c>
      <c r="J117" s="8">
        <f t="shared" si="11"/>
        <v>2029</v>
      </c>
      <c r="K117" s="1">
        <f t="shared" si="12"/>
        <v>47178</v>
      </c>
      <c r="L117" s="8"/>
    </row>
    <row r="118" spans="1:12" x14ac:dyDescent="0.35">
      <c r="A118">
        <v>100</v>
      </c>
      <c r="B118" s="13">
        <f t="shared" si="13"/>
        <v>44196</v>
      </c>
      <c r="C118" s="13">
        <f t="shared" si="14"/>
        <v>47238</v>
      </c>
      <c r="D118" s="35">
        <f t="shared" si="15"/>
        <v>1229.8497276987091</v>
      </c>
      <c r="E118" s="36">
        <f t="shared" si="16"/>
        <v>657.25813995901296</v>
      </c>
      <c r="F118" s="12">
        <f t="shared" si="17"/>
        <v>572.59158773969614</v>
      </c>
      <c r="G118" s="11">
        <f t="shared" si="18"/>
        <v>200</v>
      </c>
      <c r="H118" s="10">
        <f t="shared" si="19"/>
        <v>184806.17734186395</v>
      </c>
      <c r="I118" s="9">
        <f t="shared" si="10"/>
        <v>4</v>
      </c>
      <c r="J118" s="8">
        <f t="shared" si="11"/>
        <v>2029</v>
      </c>
      <c r="K118" s="1">
        <f t="shared" si="12"/>
        <v>47209</v>
      </c>
      <c r="L118" s="8"/>
    </row>
    <row r="119" spans="1:12" x14ac:dyDescent="0.35">
      <c r="A119">
        <v>101</v>
      </c>
      <c r="B119" s="13">
        <f t="shared" si="13"/>
        <v>44196</v>
      </c>
      <c r="C119" s="13">
        <f t="shared" si="14"/>
        <v>47269</v>
      </c>
      <c r="D119" s="35">
        <f t="shared" si="15"/>
        <v>1229.8497276987091</v>
      </c>
      <c r="E119" s="36">
        <f t="shared" si="16"/>
        <v>654.52187808576821</v>
      </c>
      <c r="F119" s="12">
        <f t="shared" si="17"/>
        <v>575.32784961294089</v>
      </c>
      <c r="G119" s="11">
        <f t="shared" si="18"/>
        <v>200</v>
      </c>
      <c r="H119" s="10">
        <f t="shared" si="19"/>
        <v>184030.849492251</v>
      </c>
      <c r="I119" s="9">
        <f t="shared" si="10"/>
        <v>5</v>
      </c>
      <c r="J119" s="8">
        <f t="shared" si="11"/>
        <v>2029</v>
      </c>
      <c r="K119" s="1">
        <f t="shared" si="12"/>
        <v>47239</v>
      </c>
      <c r="L119" s="8"/>
    </row>
    <row r="120" spans="1:12" x14ac:dyDescent="0.35">
      <c r="A120">
        <v>102</v>
      </c>
      <c r="B120" s="13">
        <f t="shared" si="13"/>
        <v>44196</v>
      </c>
      <c r="C120" s="13">
        <f t="shared" si="14"/>
        <v>47299</v>
      </c>
      <c r="D120" s="35">
        <f t="shared" si="15"/>
        <v>1229.8497276987091</v>
      </c>
      <c r="E120" s="36">
        <f t="shared" si="16"/>
        <v>651.77592528505568</v>
      </c>
      <c r="F120" s="12">
        <f t="shared" si="17"/>
        <v>578.07380241365342</v>
      </c>
      <c r="G120" s="11">
        <f t="shared" si="18"/>
        <v>200</v>
      </c>
      <c r="H120" s="10">
        <f t="shared" si="19"/>
        <v>183252.77568983735</v>
      </c>
      <c r="I120" s="9">
        <f t="shared" si="10"/>
        <v>6</v>
      </c>
      <c r="J120" s="8">
        <f t="shared" si="11"/>
        <v>2029</v>
      </c>
      <c r="K120" s="1">
        <f t="shared" si="12"/>
        <v>47270</v>
      </c>
      <c r="L120" s="8"/>
    </row>
    <row r="121" spans="1:12" x14ac:dyDescent="0.35">
      <c r="A121">
        <v>103</v>
      </c>
      <c r="B121" s="13">
        <f t="shared" si="13"/>
        <v>44196</v>
      </c>
      <c r="C121" s="13">
        <f t="shared" si="14"/>
        <v>47330</v>
      </c>
      <c r="D121" s="35">
        <f t="shared" si="15"/>
        <v>1229.8497276987091</v>
      </c>
      <c r="E121" s="36">
        <f t="shared" si="16"/>
        <v>649.02024723484067</v>
      </c>
      <c r="F121" s="12">
        <f t="shared" si="17"/>
        <v>580.82948046386844</v>
      </c>
      <c r="G121" s="11">
        <f t="shared" si="18"/>
        <v>200</v>
      </c>
      <c r="H121" s="10">
        <f t="shared" si="19"/>
        <v>182471.94620937348</v>
      </c>
      <c r="I121" s="9">
        <f t="shared" si="10"/>
        <v>7</v>
      </c>
      <c r="J121" s="8">
        <f t="shared" si="11"/>
        <v>2029</v>
      </c>
      <c r="K121" s="1">
        <f t="shared" si="12"/>
        <v>47300</v>
      </c>
      <c r="L121" s="8"/>
    </row>
    <row r="122" spans="1:12" x14ac:dyDescent="0.35">
      <c r="A122">
        <v>104</v>
      </c>
      <c r="B122" s="13">
        <f t="shared" si="13"/>
        <v>44196</v>
      </c>
      <c r="C122" s="13">
        <f t="shared" si="14"/>
        <v>47361</v>
      </c>
      <c r="D122" s="35">
        <f t="shared" si="15"/>
        <v>1229.8497276987091</v>
      </c>
      <c r="E122" s="36">
        <f t="shared" si="16"/>
        <v>646.25480949153109</v>
      </c>
      <c r="F122" s="12">
        <f t="shared" si="17"/>
        <v>583.59491820717801</v>
      </c>
      <c r="G122" s="11">
        <f t="shared" si="18"/>
        <v>200</v>
      </c>
      <c r="H122" s="10">
        <f t="shared" si="19"/>
        <v>181688.3512911663</v>
      </c>
      <c r="I122" s="9">
        <f t="shared" si="10"/>
        <v>8</v>
      </c>
      <c r="J122" s="8">
        <f t="shared" si="11"/>
        <v>2029</v>
      </c>
      <c r="K122" s="1">
        <f t="shared" si="12"/>
        <v>47331</v>
      </c>
      <c r="L122" s="8"/>
    </row>
    <row r="123" spans="1:12" x14ac:dyDescent="0.35">
      <c r="A123">
        <v>105</v>
      </c>
      <c r="B123" s="13">
        <f t="shared" si="13"/>
        <v>44196</v>
      </c>
      <c r="C123" s="13">
        <f t="shared" si="14"/>
        <v>47391</v>
      </c>
      <c r="D123" s="35">
        <f t="shared" si="15"/>
        <v>1229.8497276987091</v>
      </c>
      <c r="E123" s="36">
        <f t="shared" si="16"/>
        <v>643.4795774895473</v>
      </c>
      <c r="F123" s="12">
        <f t="shared" si="17"/>
        <v>586.37015020916181</v>
      </c>
      <c r="G123" s="11">
        <f t="shared" si="18"/>
        <v>200</v>
      </c>
      <c r="H123" s="10">
        <f t="shared" si="19"/>
        <v>180901.98114095713</v>
      </c>
      <c r="I123" s="9">
        <f t="shared" si="10"/>
        <v>9</v>
      </c>
      <c r="J123" s="8">
        <f t="shared" si="11"/>
        <v>2029</v>
      </c>
      <c r="K123" s="1">
        <f t="shared" si="12"/>
        <v>47362</v>
      </c>
      <c r="L123" s="8"/>
    </row>
    <row r="124" spans="1:12" x14ac:dyDescent="0.35">
      <c r="A124">
        <v>106</v>
      </c>
      <c r="B124" s="13">
        <f t="shared" si="13"/>
        <v>44196</v>
      </c>
      <c r="C124" s="13">
        <f t="shared" si="14"/>
        <v>47422</v>
      </c>
      <c r="D124" s="35">
        <f t="shared" si="15"/>
        <v>1229.8497276987091</v>
      </c>
      <c r="E124" s="36">
        <f t="shared" si="16"/>
        <v>640.69451654088982</v>
      </c>
      <c r="F124" s="12">
        <f t="shared" si="17"/>
        <v>589.15521115781928</v>
      </c>
      <c r="G124" s="11">
        <f t="shared" si="18"/>
        <v>200</v>
      </c>
      <c r="H124" s="10">
        <f t="shared" si="19"/>
        <v>180112.82592979932</v>
      </c>
      <c r="I124" s="9">
        <f t="shared" si="10"/>
        <v>10</v>
      </c>
      <c r="J124" s="8">
        <f t="shared" si="11"/>
        <v>2029</v>
      </c>
      <c r="K124" s="1">
        <f t="shared" si="12"/>
        <v>47392</v>
      </c>
      <c r="L124" s="8"/>
    </row>
    <row r="125" spans="1:12" x14ac:dyDescent="0.35">
      <c r="A125">
        <v>107</v>
      </c>
      <c r="B125" s="13">
        <f t="shared" si="13"/>
        <v>44196</v>
      </c>
      <c r="C125" s="13">
        <f t="shared" si="14"/>
        <v>47452</v>
      </c>
      <c r="D125" s="35">
        <f t="shared" si="15"/>
        <v>1229.8497276987091</v>
      </c>
      <c r="E125" s="36">
        <f t="shared" si="16"/>
        <v>637.89959183470603</v>
      </c>
      <c r="F125" s="12">
        <f t="shared" si="17"/>
        <v>591.95013586400307</v>
      </c>
      <c r="G125" s="11">
        <f t="shared" si="18"/>
        <v>200</v>
      </c>
      <c r="H125" s="10">
        <f t="shared" si="19"/>
        <v>179320.87579393532</v>
      </c>
      <c r="I125" s="9">
        <f t="shared" si="10"/>
        <v>11</v>
      </c>
      <c r="J125" s="8">
        <f t="shared" si="11"/>
        <v>2029</v>
      </c>
      <c r="K125" s="1">
        <f t="shared" si="12"/>
        <v>47423</v>
      </c>
      <c r="L125" s="8"/>
    </row>
    <row r="126" spans="1:12" x14ac:dyDescent="0.35">
      <c r="A126">
        <v>108</v>
      </c>
      <c r="B126" s="13">
        <f t="shared" si="13"/>
        <v>44196</v>
      </c>
      <c r="C126" s="13">
        <f t="shared" si="14"/>
        <v>47483</v>
      </c>
      <c r="D126" s="35">
        <f t="shared" si="15"/>
        <v>1229.8497276987091</v>
      </c>
      <c r="E126" s="36">
        <f t="shared" si="16"/>
        <v>635.09476843685434</v>
      </c>
      <c r="F126" s="12">
        <f t="shared" si="17"/>
        <v>594.75495926185476</v>
      </c>
      <c r="G126" s="11">
        <f t="shared" si="18"/>
        <v>200</v>
      </c>
      <c r="H126" s="10">
        <f t="shared" si="19"/>
        <v>178526.12083467346</v>
      </c>
      <c r="I126" s="9">
        <f t="shared" si="10"/>
        <v>12</v>
      </c>
      <c r="J126" s="8">
        <f t="shared" si="11"/>
        <v>2029</v>
      </c>
      <c r="K126" s="1">
        <f t="shared" si="12"/>
        <v>47453</v>
      </c>
      <c r="L126" s="8"/>
    </row>
    <row r="127" spans="1:12" x14ac:dyDescent="0.35">
      <c r="A127">
        <v>109</v>
      </c>
      <c r="B127" s="13">
        <f t="shared" si="13"/>
        <v>44196</v>
      </c>
      <c r="C127" s="13">
        <f t="shared" si="14"/>
        <v>47514</v>
      </c>
      <c r="D127" s="35">
        <f t="shared" si="15"/>
        <v>1229.8497276987091</v>
      </c>
      <c r="E127" s="36">
        <f t="shared" si="16"/>
        <v>632.28001128946858</v>
      </c>
      <c r="F127" s="12">
        <f t="shared" si="17"/>
        <v>597.56971640924053</v>
      </c>
      <c r="G127" s="11">
        <f t="shared" si="18"/>
        <v>200</v>
      </c>
      <c r="H127" s="10">
        <f t="shared" si="19"/>
        <v>177728.55111826424</v>
      </c>
      <c r="I127" s="9">
        <f t="shared" si="10"/>
        <v>1</v>
      </c>
      <c r="J127" s="8">
        <f t="shared" si="11"/>
        <v>2030</v>
      </c>
      <c r="K127" s="1">
        <f t="shared" si="12"/>
        <v>47484</v>
      </c>
      <c r="L127" s="8"/>
    </row>
    <row r="128" spans="1:12" x14ac:dyDescent="0.35">
      <c r="A128">
        <v>110</v>
      </c>
      <c r="B128" s="13">
        <f t="shared" si="13"/>
        <v>44196</v>
      </c>
      <c r="C128" s="13">
        <f t="shared" si="14"/>
        <v>47542</v>
      </c>
      <c r="D128" s="35">
        <f t="shared" si="15"/>
        <v>1229.8497276987091</v>
      </c>
      <c r="E128" s="36">
        <f t="shared" si="16"/>
        <v>629.45528521051926</v>
      </c>
      <c r="F128" s="12">
        <f t="shared" si="17"/>
        <v>600.39444248818984</v>
      </c>
      <c r="G128" s="11">
        <f t="shared" si="18"/>
        <v>200</v>
      </c>
      <c r="H128" s="10">
        <f t="shared" si="19"/>
        <v>176928.15667577606</v>
      </c>
      <c r="I128" s="9">
        <f t="shared" si="10"/>
        <v>2</v>
      </c>
      <c r="J128" s="8">
        <f t="shared" si="11"/>
        <v>2030</v>
      </c>
      <c r="K128" s="1">
        <f t="shared" si="12"/>
        <v>47515</v>
      </c>
      <c r="L128" s="8"/>
    </row>
    <row r="129" spans="1:12" x14ac:dyDescent="0.35">
      <c r="A129">
        <v>111</v>
      </c>
      <c r="B129" s="13">
        <f t="shared" si="13"/>
        <v>44196</v>
      </c>
      <c r="C129" s="13">
        <f t="shared" si="14"/>
        <v>47573</v>
      </c>
      <c r="D129" s="35">
        <f t="shared" si="15"/>
        <v>1229.8497276987091</v>
      </c>
      <c r="E129" s="36">
        <f t="shared" si="16"/>
        <v>626.62055489337365</v>
      </c>
      <c r="F129" s="12">
        <f t="shared" si="17"/>
        <v>603.22917280533545</v>
      </c>
      <c r="G129" s="11">
        <f t="shared" si="18"/>
        <v>200</v>
      </c>
      <c r="H129" s="10">
        <f t="shared" si="19"/>
        <v>176124.92750297074</v>
      </c>
      <c r="I129" s="9">
        <f t="shared" si="10"/>
        <v>3</v>
      </c>
      <c r="J129" s="8">
        <f t="shared" si="11"/>
        <v>2030</v>
      </c>
      <c r="K129" s="1">
        <f t="shared" si="12"/>
        <v>47543</v>
      </c>
      <c r="L129" s="8"/>
    </row>
    <row r="130" spans="1:12" x14ac:dyDescent="0.35">
      <c r="A130">
        <v>112</v>
      </c>
      <c r="B130" s="13">
        <f t="shared" si="13"/>
        <v>44196</v>
      </c>
      <c r="C130" s="13">
        <f t="shared" si="14"/>
        <v>47603</v>
      </c>
      <c r="D130" s="35">
        <f t="shared" si="15"/>
        <v>1229.8497276987091</v>
      </c>
      <c r="E130" s="36">
        <f t="shared" si="16"/>
        <v>623.77578490635472</v>
      </c>
      <c r="F130" s="12">
        <f t="shared" si="17"/>
        <v>606.07394279235439</v>
      </c>
      <c r="G130" s="11">
        <f t="shared" si="18"/>
        <v>200</v>
      </c>
      <c r="H130" s="10">
        <f t="shared" si="19"/>
        <v>175318.8535601784</v>
      </c>
      <c r="I130" s="9">
        <f t="shared" si="10"/>
        <v>4</v>
      </c>
      <c r="J130" s="8">
        <f t="shared" si="11"/>
        <v>2030</v>
      </c>
      <c r="K130" s="1">
        <f t="shared" si="12"/>
        <v>47574</v>
      </c>
      <c r="L130" s="8"/>
    </row>
    <row r="131" spans="1:12" x14ac:dyDescent="0.35">
      <c r="A131">
        <v>113</v>
      </c>
      <c r="B131" s="13">
        <f t="shared" si="13"/>
        <v>44196</v>
      </c>
      <c r="C131" s="13">
        <f t="shared" si="14"/>
        <v>47634</v>
      </c>
      <c r="D131" s="35">
        <f t="shared" si="15"/>
        <v>1229.8497276987091</v>
      </c>
      <c r="E131" s="36">
        <f t="shared" si="16"/>
        <v>620.92093969229848</v>
      </c>
      <c r="F131" s="12">
        <f t="shared" si="17"/>
        <v>608.92878800641063</v>
      </c>
      <c r="G131" s="11">
        <f t="shared" si="18"/>
        <v>200</v>
      </c>
      <c r="H131" s="10">
        <f t="shared" si="19"/>
        <v>174509.92477217197</v>
      </c>
      <c r="I131" s="9">
        <f t="shared" si="10"/>
        <v>5</v>
      </c>
      <c r="J131" s="8">
        <f t="shared" si="11"/>
        <v>2030</v>
      </c>
      <c r="K131" s="1">
        <f t="shared" si="12"/>
        <v>47604</v>
      </c>
      <c r="L131" s="8"/>
    </row>
    <row r="132" spans="1:12" x14ac:dyDescent="0.35">
      <c r="A132">
        <v>114</v>
      </c>
      <c r="B132" s="13">
        <f t="shared" si="13"/>
        <v>44196</v>
      </c>
      <c r="C132" s="13">
        <f t="shared" si="14"/>
        <v>47664</v>
      </c>
      <c r="D132" s="35">
        <f t="shared" si="15"/>
        <v>1229.8497276987091</v>
      </c>
      <c r="E132" s="36">
        <f t="shared" si="16"/>
        <v>618.05598356810913</v>
      </c>
      <c r="F132" s="12">
        <f t="shared" si="17"/>
        <v>611.79374413059998</v>
      </c>
      <c r="G132" s="11">
        <f t="shared" si="18"/>
        <v>200</v>
      </c>
      <c r="H132" s="10">
        <f t="shared" si="19"/>
        <v>173698.13102804136</v>
      </c>
      <c r="I132" s="9">
        <f t="shared" si="10"/>
        <v>6</v>
      </c>
      <c r="J132" s="8">
        <f t="shared" si="11"/>
        <v>2030</v>
      </c>
      <c r="K132" s="1">
        <f t="shared" si="12"/>
        <v>47635</v>
      </c>
      <c r="L132" s="8"/>
    </row>
    <row r="133" spans="1:12" x14ac:dyDescent="0.35">
      <c r="A133">
        <v>115</v>
      </c>
      <c r="B133" s="13">
        <f t="shared" si="13"/>
        <v>44196</v>
      </c>
      <c r="C133" s="13">
        <f t="shared" si="14"/>
        <v>47695</v>
      </c>
      <c r="D133" s="35">
        <f t="shared" si="15"/>
        <v>1229.8497276987091</v>
      </c>
      <c r="E133" s="36">
        <f t="shared" si="16"/>
        <v>615.18088072431317</v>
      </c>
      <c r="F133" s="12">
        <f t="shared" si="17"/>
        <v>614.66884697439593</v>
      </c>
      <c r="G133" s="11">
        <f t="shared" si="18"/>
        <v>200</v>
      </c>
      <c r="H133" s="10">
        <f t="shared" si="19"/>
        <v>172883.46218106698</v>
      </c>
      <c r="I133" s="9">
        <f t="shared" si="10"/>
        <v>7</v>
      </c>
      <c r="J133" s="8">
        <f t="shared" si="11"/>
        <v>2030</v>
      </c>
      <c r="K133" s="1">
        <f t="shared" si="12"/>
        <v>47665</v>
      </c>
      <c r="L133" s="8"/>
    </row>
    <row r="134" spans="1:12" x14ac:dyDescent="0.35">
      <c r="A134">
        <v>116</v>
      </c>
      <c r="B134" s="13">
        <f t="shared" si="13"/>
        <v>44196</v>
      </c>
      <c r="C134" s="13">
        <f t="shared" si="14"/>
        <v>47726</v>
      </c>
      <c r="D134" s="35">
        <f t="shared" si="15"/>
        <v>1229.8497276987091</v>
      </c>
      <c r="E134" s="36">
        <f t="shared" si="16"/>
        <v>612.29559522461227</v>
      </c>
      <c r="F134" s="12">
        <f t="shared" si="17"/>
        <v>617.55413247409683</v>
      </c>
      <c r="G134" s="11">
        <f t="shared" si="18"/>
        <v>200</v>
      </c>
      <c r="H134" s="10">
        <f t="shared" si="19"/>
        <v>172065.90804859289</v>
      </c>
      <c r="I134" s="9">
        <f t="shared" si="10"/>
        <v>8</v>
      </c>
      <c r="J134" s="8">
        <f t="shared" si="11"/>
        <v>2030</v>
      </c>
      <c r="K134" s="1">
        <f t="shared" si="12"/>
        <v>47696</v>
      </c>
      <c r="L134" s="8"/>
    </row>
    <row r="135" spans="1:12" x14ac:dyDescent="0.35">
      <c r="A135">
        <v>117</v>
      </c>
      <c r="B135" s="13">
        <f t="shared" si="13"/>
        <v>44196</v>
      </c>
      <c r="C135" s="13">
        <f t="shared" si="14"/>
        <v>47756</v>
      </c>
      <c r="D135" s="35">
        <f t="shared" si="15"/>
        <v>1229.8497276987091</v>
      </c>
      <c r="E135" s="36">
        <f t="shared" si="16"/>
        <v>609.40009100543318</v>
      </c>
      <c r="F135" s="12">
        <f t="shared" si="17"/>
        <v>620.44963669327592</v>
      </c>
      <c r="G135" s="11">
        <f t="shared" si="18"/>
        <v>200</v>
      </c>
      <c r="H135" s="10">
        <f t="shared" si="19"/>
        <v>171245.4584118996</v>
      </c>
      <c r="I135" s="9">
        <f t="shared" si="10"/>
        <v>9</v>
      </c>
      <c r="J135" s="8">
        <f t="shared" si="11"/>
        <v>2030</v>
      </c>
      <c r="K135" s="1">
        <f t="shared" si="12"/>
        <v>47727</v>
      </c>
      <c r="L135" s="8"/>
    </row>
    <row r="136" spans="1:12" x14ac:dyDescent="0.35">
      <c r="A136">
        <v>118</v>
      </c>
      <c r="B136" s="13">
        <f t="shared" si="13"/>
        <v>44196</v>
      </c>
      <c r="C136" s="13">
        <f t="shared" si="14"/>
        <v>47787</v>
      </c>
      <c r="D136" s="35">
        <f t="shared" si="15"/>
        <v>1229.8497276987091</v>
      </c>
      <c r="E136" s="36">
        <f t="shared" si="16"/>
        <v>606.49433187547777</v>
      </c>
      <c r="F136" s="12">
        <f t="shared" si="17"/>
        <v>623.35539582323133</v>
      </c>
      <c r="G136" s="11">
        <f t="shared" si="18"/>
        <v>200</v>
      </c>
      <c r="H136" s="10">
        <f t="shared" si="19"/>
        <v>170422.10301607638</v>
      </c>
      <c r="I136" s="9">
        <f t="shared" si="10"/>
        <v>10</v>
      </c>
      <c r="J136" s="8">
        <f t="shared" si="11"/>
        <v>2030</v>
      </c>
      <c r="K136" s="1">
        <f t="shared" si="12"/>
        <v>47757</v>
      </c>
      <c r="L136" s="8"/>
    </row>
    <row r="137" spans="1:12" x14ac:dyDescent="0.35">
      <c r="A137">
        <v>119</v>
      </c>
      <c r="B137" s="13">
        <f t="shared" si="13"/>
        <v>44196</v>
      </c>
      <c r="C137" s="13">
        <f t="shared" si="14"/>
        <v>47817</v>
      </c>
      <c r="D137" s="35">
        <f t="shared" si="15"/>
        <v>1229.8497276987091</v>
      </c>
      <c r="E137" s="36">
        <f t="shared" si="16"/>
        <v>603.57828151527053</v>
      </c>
      <c r="F137" s="12">
        <f t="shared" si="17"/>
        <v>626.27144618343857</v>
      </c>
      <c r="G137" s="11">
        <f t="shared" si="18"/>
        <v>200</v>
      </c>
      <c r="H137" s="10">
        <f t="shared" si="19"/>
        <v>169595.83156989294</v>
      </c>
      <c r="I137" s="9">
        <f t="shared" si="10"/>
        <v>11</v>
      </c>
      <c r="J137" s="8">
        <f t="shared" si="11"/>
        <v>2030</v>
      </c>
      <c r="K137" s="1">
        <f t="shared" si="12"/>
        <v>47788</v>
      </c>
      <c r="L137" s="8"/>
    </row>
    <row r="138" spans="1:12" x14ac:dyDescent="0.35">
      <c r="A138">
        <v>120</v>
      </c>
      <c r="B138" s="13">
        <f t="shared" si="13"/>
        <v>44196</v>
      </c>
      <c r="C138" s="13">
        <f t="shared" si="14"/>
        <v>47848</v>
      </c>
      <c r="D138" s="35">
        <f t="shared" si="15"/>
        <v>1229.8497276987091</v>
      </c>
      <c r="E138" s="36">
        <f t="shared" si="16"/>
        <v>600.65190347670421</v>
      </c>
      <c r="F138" s="12">
        <f t="shared" si="17"/>
        <v>629.1978242220049</v>
      </c>
      <c r="G138" s="11">
        <f t="shared" si="18"/>
        <v>200</v>
      </c>
      <c r="H138" s="10">
        <f t="shared" si="19"/>
        <v>168766.63374567093</v>
      </c>
      <c r="I138" s="9">
        <f t="shared" si="10"/>
        <v>12</v>
      </c>
      <c r="J138" s="8">
        <f t="shared" si="11"/>
        <v>2030</v>
      </c>
      <c r="K138" s="1">
        <f t="shared" si="12"/>
        <v>47818</v>
      </c>
      <c r="L138" s="8"/>
    </row>
    <row r="139" spans="1:12" x14ac:dyDescent="0.35">
      <c r="A139">
        <v>121</v>
      </c>
      <c r="B139" s="13">
        <f t="shared" si="13"/>
        <v>44196</v>
      </c>
      <c r="C139" s="13">
        <f t="shared" si="14"/>
        <v>47879</v>
      </c>
      <c r="D139" s="35">
        <f t="shared" si="15"/>
        <v>1229.8497276987091</v>
      </c>
      <c r="E139" s="36">
        <f t="shared" si="16"/>
        <v>597.71516118258455</v>
      </c>
      <c r="F139" s="12">
        <f t="shared" si="17"/>
        <v>632.13456651612455</v>
      </c>
      <c r="G139" s="11">
        <f t="shared" si="18"/>
        <v>200</v>
      </c>
      <c r="H139" s="10">
        <f t="shared" si="19"/>
        <v>167934.49917915481</v>
      </c>
      <c r="I139" s="9">
        <f t="shared" si="10"/>
        <v>1</v>
      </c>
      <c r="J139" s="8">
        <f t="shared" si="11"/>
        <v>2031</v>
      </c>
      <c r="K139" s="1">
        <f t="shared" si="12"/>
        <v>47849</v>
      </c>
      <c r="L139" s="8"/>
    </row>
    <row r="140" spans="1:12" x14ac:dyDescent="0.35">
      <c r="A140">
        <v>122</v>
      </c>
      <c r="B140" s="13">
        <f t="shared" si="13"/>
        <v>44196</v>
      </c>
      <c r="C140" s="13">
        <f t="shared" si="14"/>
        <v>47907</v>
      </c>
      <c r="D140" s="35">
        <f t="shared" si="15"/>
        <v>1229.8497276987091</v>
      </c>
      <c r="E140" s="36">
        <f t="shared" si="16"/>
        <v>594.76801792617334</v>
      </c>
      <c r="F140" s="12">
        <f t="shared" si="17"/>
        <v>635.08170977253576</v>
      </c>
      <c r="G140" s="11">
        <f t="shared" si="18"/>
        <v>200</v>
      </c>
      <c r="H140" s="10">
        <f t="shared" si="19"/>
        <v>167099.41746938229</v>
      </c>
      <c r="I140" s="9">
        <f t="shared" si="10"/>
        <v>2</v>
      </c>
      <c r="J140" s="8">
        <f t="shared" si="11"/>
        <v>2031</v>
      </c>
      <c r="K140" s="1">
        <f t="shared" si="12"/>
        <v>47880</v>
      </c>
      <c r="L140" s="8"/>
    </row>
    <row r="141" spans="1:12" x14ac:dyDescent="0.35">
      <c r="A141">
        <v>123</v>
      </c>
      <c r="B141" s="13">
        <f t="shared" si="13"/>
        <v>44196</v>
      </c>
      <c r="C141" s="13">
        <f t="shared" si="14"/>
        <v>47938</v>
      </c>
      <c r="D141" s="35">
        <f t="shared" si="15"/>
        <v>1229.8497276987091</v>
      </c>
      <c r="E141" s="36">
        <f t="shared" si="16"/>
        <v>591.81043687072895</v>
      </c>
      <c r="F141" s="12">
        <f t="shared" si="17"/>
        <v>638.03929082798015</v>
      </c>
      <c r="G141" s="11">
        <f t="shared" si="18"/>
        <v>200</v>
      </c>
      <c r="H141" s="10">
        <f t="shared" si="19"/>
        <v>166261.3781785543</v>
      </c>
      <c r="I141" s="9">
        <f t="shared" si="10"/>
        <v>3</v>
      </c>
      <c r="J141" s="8">
        <f t="shared" si="11"/>
        <v>2031</v>
      </c>
      <c r="K141" s="1">
        <f t="shared" si="12"/>
        <v>47908</v>
      </c>
      <c r="L141" s="8"/>
    </row>
    <row r="142" spans="1:12" x14ac:dyDescent="0.35">
      <c r="A142">
        <v>124</v>
      </c>
      <c r="B142" s="13">
        <f t="shared" si="13"/>
        <v>44196</v>
      </c>
      <c r="C142" s="13">
        <f t="shared" si="14"/>
        <v>47968</v>
      </c>
      <c r="D142" s="35">
        <f t="shared" si="15"/>
        <v>1229.8497276987091</v>
      </c>
      <c r="E142" s="36">
        <f t="shared" si="16"/>
        <v>588.84238104904648</v>
      </c>
      <c r="F142" s="12">
        <f t="shared" si="17"/>
        <v>641.00734664966262</v>
      </c>
      <c r="G142" s="11">
        <f t="shared" si="18"/>
        <v>200</v>
      </c>
      <c r="H142" s="10">
        <f t="shared" si="19"/>
        <v>165420.37083190464</v>
      </c>
      <c r="I142" s="9">
        <f t="shared" si="10"/>
        <v>4</v>
      </c>
      <c r="J142" s="8">
        <f t="shared" si="11"/>
        <v>2031</v>
      </c>
      <c r="K142" s="1">
        <f t="shared" si="12"/>
        <v>47939</v>
      </c>
      <c r="L142" s="8"/>
    </row>
    <row r="143" spans="1:12" x14ac:dyDescent="0.35">
      <c r="A143">
        <v>125</v>
      </c>
      <c r="B143" s="13">
        <f t="shared" si="13"/>
        <v>44196</v>
      </c>
      <c r="C143" s="13">
        <f t="shared" si="14"/>
        <v>47999</v>
      </c>
      <c r="D143" s="35">
        <f t="shared" si="15"/>
        <v>1229.8497276987091</v>
      </c>
      <c r="E143" s="36">
        <f t="shared" si="16"/>
        <v>585.86381336299564</v>
      </c>
      <c r="F143" s="12">
        <f t="shared" si="17"/>
        <v>643.98591433571346</v>
      </c>
      <c r="G143" s="11">
        <f t="shared" si="18"/>
        <v>200</v>
      </c>
      <c r="H143" s="10">
        <f t="shared" si="19"/>
        <v>164576.38491756894</v>
      </c>
      <c r="I143" s="9">
        <f t="shared" si="10"/>
        <v>5</v>
      </c>
      <c r="J143" s="8">
        <f t="shared" si="11"/>
        <v>2031</v>
      </c>
      <c r="K143" s="1">
        <f t="shared" si="12"/>
        <v>47969</v>
      </c>
      <c r="L143" s="8"/>
    </row>
    <row r="144" spans="1:12" x14ac:dyDescent="0.35">
      <c r="A144">
        <v>126</v>
      </c>
      <c r="B144" s="13">
        <f t="shared" si="13"/>
        <v>44196</v>
      </c>
      <c r="C144" s="13">
        <f t="shared" si="14"/>
        <v>48029</v>
      </c>
      <c r="D144" s="35">
        <f t="shared" si="15"/>
        <v>1229.8497276987091</v>
      </c>
      <c r="E144" s="36">
        <f t="shared" si="16"/>
        <v>582.87469658305668</v>
      </c>
      <c r="F144" s="12">
        <f t="shared" si="17"/>
        <v>646.97503111565243</v>
      </c>
      <c r="G144" s="11">
        <f t="shared" si="18"/>
        <v>200</v>
      </c>
      <c r="H144" s="10">
        <f t="shared" si="19"/>
        <v>163729.4098864533</v>
      </c>
      <c r="I144" s="9">
        <f t="shared" si="10"/>
        <v>6</v>
      </c>
      <c r="J144" s="8">
        <f t="shared" si="11"/>
        <v>2031</v>
      </c>
      <c r="K144" s="1">
        <f t="shared" si="12"/>
        <v>48000</v>
      </c>
      <c r="L144" s="8"/>
    </row>
    <row r="145" spans="1:12" x14ac:dyDescent="0.35">
      <c r="A145">
        <v>127</v>
      </c>
      <c r="B145" s="13">
        <f t="shared" si="13"/>
        <v>44196</v>
      </c>
      <c r="C145" s="13">
        <f t="shared" si="14"/>
        <v>48060</v>
      </c>
      <c r="D145" s="35">
        <f t="shared" si="15"/>
        <v>1229.8497276987091</v>
      </c>
      <c r="E145" s="36">
        <f t="shared" si="16"/>
        <v>579.87499334785548</v>
      </c>
      <c r="F145" s="12">
        <f t="shared" si="17"/>
        <v>649.97473435085362</v>
      </c>
      <c r="G145" s="11">
        <f t="shared" si="18"/>
        <v>200</v>
      </c>
      <c r="H145" s="10">
        <f t="shared" si="19"/>
        <v>162879.43515210244</v>
      </c>
      <c r="I145" s="9">
        <f t="shared" si="10"/>
        <v>7</v>
      </c>
      <c r="J145" s="8">
        <f t="shared" si="11"/>
        <v>2031</v>
      </c>
      <c r="K145" s="1">
        <f t="shared" si="12"/>
        <v>48030</v>
      </c>
      <c r="L145" s="8"/>
    </row>
    <row r="146" spans="1:12" x14ac:dyDescent="0.35">
      <c r="A146">
        <v>128</v>
      </c>
      <c r="B146" s="13">
        <f t="shared" si="13"/>
        <v>44196</v>
      </c>
      <c r="C146" s="13">
        <f t="shared" si="14"/>
        <v>48091</v>
      </c>
      <c r="D146" s="35">
        <f t="shared" si="15"/>
        <v>1229.8497276987091</v>
      </c>
      <c r="E146" s="36">
        <f t="shared" si="16"/>
        <v>576.86466616369614</v>
      </c>
      <c r="F146" s="12">
        <f t="shared" si="17"/>
        <v>652.98506153501296</v>
      </c>
      <c r="G146" s="11">
        <f t="shared" si="18"/>
        <v>200</v>
      </c>
      <c r="H146" s="10">
        <f t="shared" si="19"/>
        <v>162026.45009056744</v>
      </c>
      <c r="I146" s="9">
        <f t="shared" si="10"/>
        <v>8</v>
      </c>
      <c r="J146" s="8">
        <f t="shared" si="11"/>
        <v>2031</v>
      </c>
      <c r="K146" s="1">
        <f t="shared" si="12"/>
        <v>48061</v>
      </c>
      <c r="L146" s="8"/>
    </row>
    <row r="147" spans="1:12" x14ac:dyDescent="0.35">
      <c r="A147">
        <v>129</v>
      </c>
      <c r="B147" s="13">
        <f t="shared" si="13"/>
        <v>44196</v>
      </c>
      <c r="C147" s="13">
        <f t="shared" si="14"/>
        <v>48121</v>
      </c>
      <c r="D147" s="35">
        <f t="shared" si="15"/>
        <v>1229.8497276987091</v>
      </c>
      <c r="E147" s="36">
        <f t="shared" si="16"/>
        <v>573.843677404093</v>
      </c>
      <c r="F147" s="12">
        <f t="shared" si="17"/>
        <v>656.0060502946161</v>
      </c>
      <c r="G147" s="11">
        <f t="shared" si="18"/>
        <v>200</v>
      </c>
      <c r="H147" s="10">
        <f t="shared" si="19"/>
        <v>161170.44404027282</v>
      </c>
      <c r="I147" s="9">
        <f t="shared" ref="I147:I210" si="20">MONTH(C147)</f>
        <v>9</v>
      </c>
      <c r="J147" s="8">
        <f t="shared" ref="J147:J210" si="21">YEAR(C147)</f>
        <v>2031</v>
      </c>
      <c r="K147" s="1">
        <f t="shared" ref="K147:K210" si="22">DATE(J147,(I147),1)</f>
        <v>48092</v>
      </c>
      <c r="L147" s="8"/>
    </row>
    <row r="148" spans="1:12" x14ac:dyDescent="0.35">
      <c r="A148">
        <v>130</v>
      </c>
      <c r="B148" s="13">
        <f t="shared" ref="B148:B211" si="23">$D$16</f>
        <v>44196</v>
      </c>
      <c r="C148" s="13">
        <f t="shared" ref="C148:C211" si="24">EDATE(B148,A148)</f>
        <v>48152</v>
      </c>
      <c r="D148" s="35">
        <f t="shared" ref="D148:D211" si="25">IF(AND(ISNUMBER(H147), H147 &gt; $D$4), $D$4, IF(AND(ISNUMBER(H147), H147 &gt; 0), H147 + E148, "Paid Off"))</f>
        <v>1229.8497276987091</v>
      </c>
      <c r="E148" s="36">
        <f t="shared" ref="E148:E211" si="26">IFERROR(H147 * $D$2 / 12, "N/A")</f>
        <v>570.81198930929963</v>
      </c>
      <c r="F148" s="12">
        <f t="shared" ref="F148:F211" si="27">IFERROR(D148 - E148, "N/A")</f>
        <v>659.03773838940947</v>
      </c>
      <c r="G148" s="11">
        <f t="shared" ref="G148:G211" si="28">IF(ISNUMBER(H147), IF(H147 - F148 &gt; $D$5, $D$5, IF(H147 - F148 &gt; 0, H147 - F148, 0)), "N/A")</f>
        <v>200</v>
      </c>
      <c r="H148" s="10">
        <f t="shared" ref="H148:H211" si="29">IFERROR(IF(H147 - F148 - G148 &gt; 0, H147 - F148 - G148, "Paid Off"), "Paid Off")</f>
        <v>160311.4063018834</v>
      </c>
      <c r="I148" s="9">
        <f t="shared" si="20"/>
        <v>10</v>
      </c>
      <c r="J148" s="8">
        <f t="shared" si="21"/>
        <v>2031</v>
      </c>
      <c r="K148" s="1">
        <f t="shared" si="22"/>
        <v>48122</v>
      </c>
      <c r="L148" s="8"/>
    </row>
    <row r="149" spans="1:12" x14ac:dyDescent="0.35">
      <c r="A149">
        <v>131</v>
      </c>
      <c r="B149" s="13">
        <f t="shared" si="23"/>
        <v>44196</v>
      </c>
      <c r="C149" s="13">
        <f t="shared" si="24"/>
        <v>48182</v>
      </c>
      <c r="D149" s="35">
        <f t="shared" si="25"/>
        <v>1229.8497276987091</v>
      </c>
      <c r="E149" s="36">
        <f t="shared" si="26"/>
        <v>567.76956398583707</v>
      </c>
      <c r="F149" s="12">
        <f t="shared" si="27"/>
        <v>662.08016371287204</v>
      </c>
      <c r="G149" s="11">
        <f t="shared" si="28"/>
        <v>200</v>
      </c>
      <c r="H149" s="10">
        <f t="shared" si="29"/>
        <v>159449.32613817052</v>
      </c>
      <c r="I149" s="9">
        <f t="shared" si="20"/>
        <v>11</v>
      </c>
      <c r="J149" s="8">
        <f t="shared" si="21"/>
        <v>2031</v>
      </c>
      <c r="K149" s="1">
        <f t="shared" si="22"/>
        <v>48153</v>
      </c>
      <c r="L149" s="8"/>
    </row>
    <row r="150" spans="1:12" x14ac:dyDescent="0.35">
      <c r="A150">
        <v>132</v>
      </c>
      <c r="B150" s="13">
        <f t="shared" si="23"/>
        <v>44196</v>
      </c>
      <c r="C150" s="13">
        <f t="shared" si="24"/>
        <v>48213</v>
      </c>
      <c r="D150" s="35">
        <f t="shared" si="25"/>
        <v>1229.8497276987091</v>
      </c>
      <c r="E150" s="36">
        <f t="shared" si="26"/>
        <v>564.7163634060206</v>
      </c>
      <c r="F150" s="12">
        <f t="shared" si="27"/>
        <v>665.1333642926885</v>
      </c>
      <c r="G150" s="11">
        <f t="shared" si="28"/>
        <v>200</v>
      </c>
      <c r="H150" s="10">
        <f t="shared" si="29"/>
        <v>158584.19277387785</v>
      </c>
      <c r="I150" s="9">
        <f t="shared" si="20"/>
        <v>12</v>
      </c>
      <c r="J150" s="8">
        <f t="shared" si="21"/>
        <v>2031</v>
      </c>
      <c r="K150" s="1">
        <f t="shared" si="22"/>
        <v>48183</v>
      </c>
      <c r="L150" s="8"/>
    </row>
    <row r="151" spans="1:12" x14ac:dyDescent="0.35">
      <c r="A151">
        <v>133</v>
      </c>
      <c r="B151" s="13">
        <f t="shared" si="23"/>
        <v>44196</v>
      </c>
      <c r="C151" s="13">
        <f t="shared" si="24"/>
        <v>48244</v>
      </c>
      <c r="D151" s="35">
        <f t="shared" si="25"/>
        <v>1229.8497276987091</v>
      </c>
      <c r="E151" s="36">
        <f t="shared" si="26"/>
        <v>561.65234940748405</v>
      </c>
      <c r="F151" s="12">
        <f t="shared" si="27"/>
        <v>668.19737829122505</v>
      </c>
      <c r="G151" s="11">
        <f t="shared" si="28"/>
        <v>200</v>
      </c>
      <c r="H151" s="10">
        <f t="shared" si="29"/>
        <v>157715.99539558662</v>
      </c>
      <c r="I151" s="9">
        <f t="shared" si="20"/>
        <v>1</v>
      </c>
      <c r="J151" s="8">
        <f t="shared" si="21"/>
        <v>2032</v>
      </c>
      <c r="K151" s="1">
        <f t="shared" si="22"/>
        <v>48214</v>
      </c>
      <c r="L151" s="8"/>
    </row>
    <row r="152" spans="1:12" x14ac:dyDescent="0.35">
      <c r="A152">
        <v>134</v>
      </c>
      <c r="B152" s="13">
        <f t="shared" si="23"/>
        <v>44196</v>
      </c>
      <c r="C152" s="13">
        <f t="shared" si="24"/>
        <v>48273</v>
      </c>
      <c r="D152" s="35">
        <f t="shared" si="25"/>
        <v>1229.8497276987091</v>
      </c>
      <c r="E152" s="36">
        <f t="shared" si="26"/>
        <v>558.57748369270269</v>
      </c>
      <c r="F152" s="12">
        <f t="shared" si="27"/>
        <v>671.27224400600642</v>
      </c>
      <c r="G152" s="11">
        <f t="shared" si="28"/>
        <v>200</v>
      </c>
      <c r="H152" s="10">
        <f t="shared" si="29"/>
        <v>156844.72315158061</v>
      </c>
      <c r="I152" s="9">
        <f t="shared" si="20"/>
        <v>2</v>
      </c>
      <c r="J152" s="8">
        <f t="shared" si="21"/>
        <v>2032</v>
      </c>
      <c r="K152" s="1">
        <f t="shared" si="22"/>
        <v>48245</v>
      </c>
      <c r="L152" s="8"/>
    </row>
    <row r="153" spans="1:12" x14ac:dyDescent="0.35">
      <c r="A153">
        <v>135</v>
      </c>
      <c r="B153" s="13">
        <f t="shared" si="23"/>
        <v>44196</v>
      </c>
      <c r="C153" s="13">
        <f t="shared" si="24"/>
        <v>48304</v>
      </c>
      <c r="D153" s="35">
        <f t="shared" si="25"/>
        <v>1229.8497276987091</v>
      </c>
      <c r="E153" s="36">
        <f t="shared" si="26"/>
        <v>555.49172782851463</v>
      </c>
      <c r="F153" s="12">
        <f t="shared" si="27"/>
        <v>674.35799987019448</v>
      </c>
      <c r="G153" s="11">
        <f t="shared" si="28"/>
        <v>200</v>
      </c>
      <c r="H153" s="10">
        <f t="shared" si="29"/>
        <v>155970.3651517104</v>
      </c>
      <c r="I153" s="9">
        <f t="shared" si="20"/>
        <v>3</v>
      </c>
      <c r="J153" s="8">
        <f t="shared" si="21"/>
        <v>2032</v>
      </c>
      <c r="K153" s="1">
        <f t="shared" si="22"/>
        <v>48274</v>
      </c>
      <c r="L153" s="8"/>
    </row>
    <row r="154" spans="1:12" x14ac:dyDescent="0.35">
      <c r="A154">
        <v>136</v>
      </c>
      <c r="B154" s="13">
        <f t="shared" si="23"/>
        <v>44196</v>
      </c>
      <c r="C154" s="13">
        <f t="shared" si="24"/>
        <v>48334</v>
      </c>
      <c r="D154" s="35">
        <f t="shared" si="25"/>
        <v>1229.8497276987091</v>
      </c>
      <c r="E154" s="36">
        <f t="shared" si="26"/>
        <v>552.39504324564098</v>
      </c>
      <c r="F154" s="12">
        <f t="shared" si="27"/>
        <v>677.45468445306813</v>
      </c>
      <c r="G154" s="11">
        <f t="shared" si="28"/>
        <v>200</v>
      </c>
      <c r="H154" s="10">
        <f t="shared" si="29"/>
        <v>155092.91046725734</v>
      </c>
      <c r="I154" s="9">
        <f t="shared" si="20"/>
        <v>4</v>
      </c>
      <c r="J154" s="8">
        <f t="shared" si="21"/>
        <v>2032</v>
      </c>
      <c r="K154" s="1">
        <f t="shared" si="22"/>
        <v>48305</v>
      </c>
      <c r="L154" s="8"/>
    </row>
    <row r="155" spans="1:12" x14ac:dyDescent="0.35">
      <c r="A155">
        <v>137</v>
      </c>
      <c r="B155" s="13">
        <f t="shared" si="23"/>
        <v>44196</v>
      </c>
      <c r="C155" s="13">
        <f t="shared" si="24"/>
        <v>48365</v>
      </c>
      <c r="D155" s="35">
        <f t="shared" si="25"/>
        <v>1229.8497276987091</v>
      </c>
      <c r="E155" s="36">
        <f t="shared" si="26"/>
        <v>549.2873912382031</v>
      </c>
      <c r="F155" s="12">
        <f t="shared" si="27"/>
        <v>680.562336460506</v>
      </c>
      <c r="G155" s="11">
        <f t="shared" si="28"/>
        <v>200</v>
      </c>
      <c r="H155" s="10">
        <f t="shared" si="29"/>
        <v>154212.34813079683</v>
      </c>
      <c r="I155" s="9">
        <f t="shared" si="20"/>
        <v>5</v>
      </c>
      <c r="J155" s="8">
        <f t="shared" si="21"/>
        <v>2032</v>
      </c>
      <c r="K155" s="1">
        <f t="shared" si="22"/>
        <v>48335</v>
      </c>
      <c r="L155" s="8"/>
    </row>
    <row r="156" spans="1:12" x14ac:dyDescent="0.35">
      <c r="A156">
        <v>138</v>
      </c>
      <c r="B156" s="13">
        <f t="shared" si="23"/>
        <v>44196</v>
      </c>
      <c r="C156" s="13">
        <f t="shared" si="24"/>
        <v>48395</v>
      </c>
      <c r="D156" s="35">
        <f t="shared" si="25"/>
        <v>1229.8497276987091</v>
      </c>
      <c r="E156" s="36">
        <f t="shared" si="26"/>
        <v>546.16873296323877</v>
      </c>
      <c r="F156" s="12">
        <f t="shared" si="27"/>
        <v>683.68099473547034</v>
      </c>
      <c r="G156" s="11">
        <f t="shared" si="28"/>
        <v>200</v>
      </c>
      <c r="H156" s="10">
        <f t="shared" si="29"/>
        <v>153328.66713606135</v>
      </c>
      <c r="I156" s="9">
        <f t="shared" si="20"/>
        <v>6</v>
      </c>
      <c r="J156" s="8">
        <f t="shared" si="21"/>
        <v>2032</v>
      </c>
      <c r="K156" s="1">
        <f t="shared" si="22"/>
        <v>48366</v>
      </c>
      <c r="L156" s="8"/>
    </row>
    <row r="157" spans="1:12" x14ac:dyDescent="0.35">
      <c r="A157">
        <v>139</v>
      </c>
      <c r="B157" s="13">
        <f t="shared" si="23"/>
        <v>44196</v>
      </c>
      <c r="C157" s="13">
        <f t="shared" si="24"/>
        <v>48426</v>
      </c>
      <c r="D157" s="35">
        <f t="shared" si="25"/>
        <v>1229.8497276987091</v>
      </c>
      <c r="E157" s="36">
        <f t="shared" si="26"/>
        <v>543.0390294402174</v>
      </c>
      <c r="F157" s="12">
        <f t="shared" si="27"/>
        <v>686.8106982584917</v>
      </c>
      <c r="G157" s="11">
        <f t="shared" si="28"/>
        <v>200</v>
      </c>
      <c r="H157" s="10">
        <f t="shared" si="29"/>
        <v>152441.85643780287</v>
      </c>
      <c r="I157" s="9">
        <f t="shared" si="20"/>
        <v>7</v>
      </c>
      <c r="J157" s="8">
        <f t="shared" si="21"/>
        <v>2032</v>
      </c>
      <c r="K157" s="1">
        <f t="shared" si="22"/>
        <v>48396</v>
      </c>
      <c r="L157" s="8"/>
    </row>
    <row r="158" spans="1:12" x14ac:dyDescent="0.35">
      <c r="A158">
        <v>140</v>
      </c>
      <c r="B158" s="13">
        <f t="shared" si="23"/>
        <v>44196</v>
      </c>
      <c r="C158" s="13">
        <f t="shared" si="24"/>
        <v>48457</v>
      </c>
      <c r="D158" s="35">
        <f t="shared" si="25"/>
        <v>1229.8497276987091</v>
      </c>
      <c r="E158" s="36">
        <f t="shared" si="26"/>
        <v>539.89824155055192</v>
      </c>
      <c r="F158" s="12">
        <f t="shared" si="27"/>
        <v>689.95148614815719</v>
      </c>
      <c r="G158" s="11">
        <f t="shared" si="28"/>
        <v>200</v>
      </c>
      <c r="H158" s="10">
        <f t="shared" si="29"/>
        <v>151551.90495165472</v>
      </c>
      <c r="I158" s="9">
        <f t="shared" si="20"/>
        <v>8</v>
      </c>
      <c r="J158" s="8">
        <f t="shared" si="21"/>
        <v>2032</v>
      </c>
      <c r="K158" s="1">
        <f t="shared" si="22"/>
        <v>48427</v>
      </c>
      <c r="L158" s="8"/>
    </row>
    <row r="159" spans="1:12" x14ac:dyDescent="0.35">
      <c r="A159">
        <v>141</v>
      </c>
      <c r="B159" s="13">
        <f t="shared" si="23"/>
        <v>44196</v>
      </c>
      <c r="C159" s="13">
        <f t="shared" si="24"/>
        <v>48487</v>
      </c>
      <c r="D159" s="35">
        <f t="shared" si="25"/>
        <v>1229.8497276987091</v>
      </c>
      <c r="E159" s="36">
        <f t="shared" si="26"/>
        <v>536.74633003711051</v>
      </c>
      <c r="F159" s="12">
        <f t="shared" si="27"/>
        <v>693.10339766159859</v>
      </c>
      <c r="G159" s="11">
        <f t="shared" si="28"/>
        <v>200</v>
      </c>
      <c r="H159" s="10">
        <f t="shared" si="29"/>
        <v>150658.80155399314</v>
      </c>
      <c r="I159" s="9">
        <f t="shared" si="20"/>
        <v>9</v>
      </c>
      <c r="J159" s="8">
        <f t="shared" si="21"/>
        <v>2032</v>
      </c>
      <c r="K159" s="1">
        <f t="shared" si="22"/>
        <v>48458</v>
      </c>
      <c r="L159" s="8"/>
    </row>
    <row r="160" spans="1:12" x14ac:dyDescent="0.35">
      <c r="A160">
        <v>142</v>
      </c>
      <c r="B160" s="13">
        <f t="shared" si="23"/>
        <v>44196</v>
      </c>
      <c r="C160" s="13">
        <f t="shared" si="24"/>
        <v>48518</v>
      </c>
      <c r="D160" s="35">
        <f t="shared" si="25"/>
        <v>1229.8497276987091</v>
      </c>
      <c r="E160" s="36">
        <f t="shared" si="26"/>
        <v>533.5832555037257</v>
      </c>
      <c r="F160" s="12">
        <f t="shared" si="27"/>
        <v>696.26647219498341</v>
      </c>
      <c r="G160" s="11">
        <f t="shared" si="28"/>
        <v>200</v>
      </c>
      <c r="H160" s="10">
        <f t="shared" si="29"/>
        <v>149762.53508179815</v>
      </c>
      <c r="I160" s="9">
        <f t="shared" si="20"/>
        <v>10</v>
      </c>
      <c r="J160" s="8">
        <f t="shared" si="21"/>
        <v>2032</v>
      </c>
      <c r="K160" s="1">
        <f t="shared" si="22"/>
        <v>48488</v>
      </c>
      <c r="L160" s="8"/>
    </row>
    <row r="161" spans="1:12" x14ac:dyDescent="0.35">
      <c r="A161">
        <v>143</v>
      </c>
      <c r="B161" s="13">
        <f t="shared" si="23"/>
        <v>44196</v>
      </c>
      <c r="C161" s="13">
        <f t="shared" si="24"/>
        <v>48548</v>
      </c>
      <c r="D161" s="35">
        <f t="shared" si="25"/>
        <v>1229.8497276987091</v>
      </c>
      <c r="E161" s="36">
        <f t="shared" si="26"/>
        <v>530.40897841470189</v>
      </c>
      <c r="F161" s="12">
        <f t="shared" si="27"/>
        <v>699.44074928400721</v>
      </c>
      <c r="G161" s="11">
        <f t="shared" si="28"/>
        <v>200</v>
      </c>
      <c r="H161" s="10">
        <f t="shared" si="29"/>
        <v>148863.09433251416</v>
      </c>
      <c r="I161" s="9">
        <f t="shared" si="20"/>
        <v>11</v>
      </c>
      <c r="J161" s="8">
        <f t="shared" si="21"/>
        <v>2032</v>
      </c>
      <c r="K161" s="1">
        <f t="shared" si="22"/>
        <v>48519</v>
      </c>
      <c r="L161" s="8"/>
    </row>
    <row r="162" spans="1:12" x14ac:dyDescent="0.35">
      <c r="A162">
        <v>144</v>
      </c>
      <c r="B162" s="13">
        <f t="shared" si="23"/>
        <v>44196</v>
      </c>
      <c r="C162" s="13">
        <f t="shared" si="24"/>
        <v>48579</v>
      </c>
      <c r="D162" s="35">
        <f t="shared" si="25"/>
        <v>1229.8497276987091</v>
      </c>
      <c r="E162" s="36">
        <f t="shared" si="26"/>
        <v>527.22345909432102</v>
      </c>
      <c r="F162" s="12">
        <f t="shared" si="27"/>
        <v>702.62626860438809</v>
      </c>
      <c r="G162" s="11">
        <f t="shared" si="28"/>
        <v>200</v>
      </c>
      <c r="H162" s="10">
        <f t="shared" si="29"/>
        <v>147960.46806390976</v>
      </c>
      <c r="I162" s="9">
        <f t="shared" si="20"/>
        <v>12</v>
      </c>
      <c r="J162" s="8">
        <f t="shared" si="21"/>
        <v>2032</v>
      </c>
      <c r="K162" s="1">
        <f t="shared" si="22"/>
        <v>48549</v>
      </c>
      <c r="L162" s="8"/>
    </row>
    <row r="163" spans="1:12" x14ac:dyDescent="0.35">
      <c r="A163">
        <v>145</v>
      </c>
      <c r="B163" s="13">
        <f t="shared" si="23"/>
        <v>44196</v>
      </c>
      <c r="C163" s="13">
        <f t="shared" si="24"/>
        <v>48610</v>
      </c>
      <c r="D163" s="35">
        <f t="shared" si="25"/>
        <v>1229.8497276987091</v>
      </c>
      <c r="E163" s="36">
        <f t="shared" si="26"/>
        <v>524.02665772634714</v>
      </c>
      <c r="F163" s="12">
        <f t="shared" si="27"/>
        <v>705.82306997236196</v>
      </c>
      <c r="G163" s="11">
        <f t="shared" si="28"/>
        <v>200</v>
      </c>
      <c r="H163" s="10">
        <f t="shared" si="29"/>
        <v>147054.6449939374</v>
      </c>
      <c r="I163" s="9">
        <f t="shared" si="20"/>
        <v>1</v>
      </c>
      <c r="J163" s="8">
        <f t="shared" si="21"/>
        <v>2033</v>
      </c>
      <c r="K163" s="1">
        <f t="shared" si="22"/>
        <v>48580</v>
      </c>
      <c r="L163" s="8"/>
    </row>
    <row r="164" spans="1:12" x14ac:dyDescent="0.35">
      <c r="A164">
        <v>146</v>
      </c>
      <c r="B164" s="13">
        <f t="shared" si="23"/>
        <v>44196</v>
      </c>
      <c r="C164" s="13">
        <f t="shared" si="24"/>
        <v>48638</v>
      </c>
      <c r="D164" s="35">
        <f t="shared" si="25"/>
        <v>1229.8497276987091</v>
      </c>
      <c r="E164" s="36">
        <f t="shared" si="26"/>
        <v>520.81853435352832</v>
      </c>
      <c r="F164" s="12">
        <f t="shared" si="27"/>
        <v>709.03119334518078</v>
      </c>
      <c r="G164" s="11">
        <f t="shared" si="28"/>
        <v>200</v>
      </c>
      <c r="H164" s="10">
        <f t="shared" si="29"/>
        <v>146145.61380059223</v>
      </c>
      <c r="I164" s="9">
        <f t="shared" si="20"/>
        <v>2</v>
      </c>
      <c r="J164" s="8">
        <f t="shared" si="21"/>
        <v>2033</v>
      </c>
      <c r="K164" s="1">
        <f t="shared" si="22"/>
        <v>48611</v>
      </c>
      <c r="L164" s="8"/>
    </row>
    <row r="165" spans="1:12" x14ac:dyDescent="0.35">
      <c r="A165">
        <v>147</v>
      </c>
      <c r="B165" s="13">
        <f t="shared" si="23"/>
        <v>44196</v>
      </c>
      <c r="C165" s="13">
        <f t="shared" si="24"/>
        <v>48669</v>
      </c>
      <c r="D165" s="35">
        <f t="shared" si="25"/>
        <v>1229.8497276987091</v>
      </c>
      <c r="E165" s="36">
        <f t="shared" si="26"/>
        <v>517.59904887709752</v>
      </c>
      <c r="F165" s="12">
        <f t="shared" si="27"/>
        <v>712.25067882161159</v>
      </c>
      <c r="G165" s="11">
        <f t="shared" si="28"/>
        <v>200</v>
      </c>
      <c r="H165" s="10">
        <f t="shared" si="29"/>
        <v>145233.36312177061</v>
      </c>
      <c r="I165" s="9">
        <f t="shared" si="20"/>
        <v>3</v>
      </c>
      <c r="J165" s="8">
        <f t="shared" si="21"/>
        <v>2033</v>
      </c>
      <c r="K165" s="1">
        <f t="shared" si="22"/>
        <v>48639</v>
      </c>
      <c r="L165" s="8"/>
    </row>
    <row r="166" spans="1:12" x14ac:dyDescent="0.35">
      <c r="A166">
        <v>148</v>
      </c>
      <c r="B166" s="13">
        <f t="shared" si="23"/>
        <v>44196</v>
      </c>
      <c r="C166" s="13">
        <f t="shared" si="24"/>
        <v>48699</v>
      </c>
      <c r="D166" s="35">
        <f t="shared" si="25"/>
        <v>1229.8497276987091</v>
      </c>
      <c r="E166" s="36">
        <f t="shared" si="26"/>
        <v>514.36816105627099</v>
      </c>
      <c r="F166" s="12">
        <f t="shared" si="27"/>
        <v>715.48156664243811</v>
      </c>
      <c r="G166" s="11">
        <f t="shared" si="28"/>
        <v>200</v>
      </c>
      <c r="H166" s="10">
        <f t="shared" si="29"/>
        <v>144317.88155512817</v>
      </c>
      <c r="I166" s="9">
        <f t="shared" si="20"/>
        <v>4</v>
      </c>
      <c r="J166" s="8">
        <f t="shared" si="21"/>
        <v>2033</v>
      </c>
      <c r="K166" s="1">
        <f t="shared" si="22"/>
        <v>48670</v>
      </c>
      <c r="L166" s="8"/>
    </row>
    <row r="167" spans="1:12" x14ac:dyDescent="0.35">
      <c r="A167">
        <v>149</v>
      </c>
      <c r="B167" s="13">
        <f t="shared" si="23"/>
        <v>44196</v>
      </c>
      <c r="C167" s="13">
        <f t="shared" si="24"/>
        <v>48730</v>
      </c>
      <c r="D167" s="35">
        <f t="shared" si="25"/>
        <v>1229.8497276987091</v>
      </c>
      <c r="E167" s="36">
        <f t="shared" si="26"/>
        <v>511.12583050774566</v>
      </c>
      <c r="F167" s="12">
        <f t="shared" si="27"/>
        <v>718.7238971909635</v>
      </c>
      <c r="G167" s="11">
        <f t="shared" si="28"/>
        <v>200</v>
      </c>
      <c r="H167" s="10">
        <f t="shared" si="29"/>
        <v>143399.1576579372</v>
      </c>
      <c r="I167" s="9">
        <f t="shared" si="20"/>
        <v>5</v>
      </c>
      <c r="J167" s="8">
        <f t="shared" si="21"/>
        <v>2033</v>
      </c>
      <c r="K167" s="1">
        <f t="shared" si="22"/>
        <v>48700</v>
      </c>
      <c r="L167" s="8"/>
    </row>
    <row r="168" spans="1:12" x14ac:dyDescent="0.35">
      <c r="A168">
        <v>150</v>
      </c>
      <c r="B168" s="13">
        <f t="shared" si="23"/>
        <v>44196</v>
      </c>
      <c r="C168" s="13">
        <f t="shared" si="24"/>
        <v>48760</v>
      </c>
      <c r="D168" s="35">
        <f t="shared" si="25"/>
        <v>1229.8497276987091</v>
      </c>
      <c r="E168" s="36">
        <f t="shared" si="26"/>
        <v>507.87201670519431</v>
      </c>
      <c r="F168" s="12">
        <f t="shared" si="27"/>
        <v>721.97771099351485</v>
      </c>
      <c r="G168" s="11">
        <f t="shared" si="28"/>
        <v>200</v>
      </c>
      <c r="H168" s="10">
        <f t="shared" si="29"/>
        <v>142477.17994694368</v>
      </c>
      <c r="I168" s="9">
        <f t="shared" si="20"/>
        <v>6</v>
      </c>
      <c r="J168" s="8">
        <f t="shared" si="21"/>
        <v>2033</v>
      </c>
      <c r="K168" s="1">
        <f t="shared" si="22"/>
        <v>48731</v>
      </c>
      <c r="L168" s="8"/>
    </row>
    <row r="169" spans="1:12" x14ac:dyDescent="0.35">
      <c r="A169">
        <v>151</v>
      </c>
      <c r="B169" s="13">
        <f t="shared" si="23"/>
        <v>44196</v>
      </c>
      <c r="C169" s="13">
        <f t="shared" si="24"/>
        <v>48791</v>
      </c>
      <c r="D169" s="35">
        <f t="shared" si="25"/>
        <v>1229.8497276987091</v>
      </c>
      <c r="E169" s="36">
        <f t="shared" si="26"/>
        <v>504.60667897875891</v>
      </c>
      <c r="F169" s="12">
        <f t="shared" si="27"/>
        <v>725.24304871995014</v>
      </c>
      <c r="G169" s="11">
        <f t="shared" si="28"/>
        <v>200</v>
      </c>
      <c r="H169" s="10">
        <f t="shared" si="29"/>
        <v>141551.93689822374</v>
      </c>
      <c r="I169" s="9">
        <f t="shared" si="20"/>
        <v>7</v>
      </c>
      <c r="J169" s="8">
        <f t="shared" si="21"/>
        <v>2033</v>
      </c>
      <c r="K169" s="1">
        <f t="shared" si="22"/>
        <v>48761</v>
      </c>
      <c r="L169" s="8"/>
    </row>
    <row r="170" spans="1:12" x14ac:dyDescent="0.35">
      <c r="A170">
        <v>152</v>
      </c>
      <c r="B170" s="13">
        <f t="shared" si="23"/>
        <v>44196</v>
      </c>
      <c r="C170" s="13">
        <f t="shared" si="24"/>
        <v>48822</v>
      </c>
      <c r="D170" s="35">
        <f t="shared" si="25"/>
        <v>1229.8497276987091</v>
      </c>
      <c r="E170" s="36">
        <f t="shared" si="26"/>
        <v>501.3297765145424</v>
      </c>
      <c r="F170" s="12">
        <f t="shared" si="27"/>
        <v>728.51995118416676</v>
      </c>
      <c r="G170" s="11">
        <f t="shared" si="28"/>
        <v>200</v>
      </c>
      <c r="H170" s="10">
        <f t="shared" si="29"/>
        <v>140623.41694703957</v>
      </c>
      <c r="I170" s="9">
        <f t="shared" si="20"/>
        <v>8</v>
      </c>
      <c r="J170" s="8">
        <f t="shared" si="21"/>
        <v>2033</v>
      </c>
      <c r="K170" s="1">
        <f t="shared" si="22"/>
        <v>48792</v>
      </c>
      <c r="L170" s="8"/>
    </row>
    <row r="171" spans="1:12" x14ac:dyDescent="0.35">
      <c r="A171">
        <v>153</v>
      </c>
      <c r="B171" s="13">
        <f t="shared" si="23"/>
        <v>44196</v>
      </c>
      <c r="C171" s="13">
        <f t="shared" si="24"/>
        <v>48852</v>
      </c>
      <c r="D171" s="35">
        <f t="shared" si="25"/>
        <v>1229.8497276987091</v>
      </c>
      <c r="E171" s="36">
        <f t="shared" si="26"/>
        <v>498.04126835409852</v>
      </c>
      <c r="F171" s="12">
        <f t="shared" si="27"/>
        <v>731.80845934461058</v>
      </c>
      <c r="G171" s="11">
        <f t="shared" si="28"/>
        <v>200</v>
      </c>
      <c r="H171" s="10">
        <f t="shared" si="29"/>
        <v>139691.60848769496</v>
      </c>
      <c r="I171" s="9">
        <f t="shared" si="20"/>
        <v>9</v>
      </c>
      <c r="J171" s="8">
        <f t="shared" si="21"/>
        <v>2033</v>
      </c>
      <c r="K171" s="1">
        <f t="shared" si="22"/>
        <v>48823</v>
      </c>
      <c r="L171" s="8"/>
    </row>
    <row r="172" spans="1:12" x14ac:dyDescent="0.35">
      <c r="A172">
        <v>154</v>
      </c>
      <c r="B172" s="13">
        <f t="shared" si="23"/>
        <v>44196</v>
      </c>
      <c r="C172" s="13">
        <f t="shared" si="24"/>
        <v>48883</v>
      </c>
      <c r="D172" s="35">
        <f t="shared" si="25"/>
        <v>1229.8497276987091</v>
      </c>
      <c r="E172" s="36">
        <f t="shared" si="26"/>
        <v>494.7411133939197</v>
      </c>
      <c r="F172" s="12">
        <f t="shared" si="27"/>
        <v>735.1086143047894</v>
      </c>
      <c r="G172" s="11">
        <f t="shared" si="28"/>
        <v>200</v>
      </c>
      <c r="H172" s="10">
        <f t="shared" si="29"/>
        <v>138756.49987339016</v>
      </c>
      <c r="I172" s="9">
        <f t="shared" si="20"/>
        <v>10</v>
      </c>
      <c r="J172" s="8">
        <f t="shared" si="21"/>
        <v>2033</v>
      </c>
      <c r="K172" s="1">
        <f t="shared" si="22"/>
        <v>48853</v>
      </c>
      <c r="L172" s="8"/>
    </row>
    <row r="173" spans="1:12" x14ac:dyDescent="0.35">
      <c r="A173">
        <v>155</v>
      </c>
      <c r="B173" s="13">
        <f t="shared" si="23"/>
        <v>44196</v>
      </c>
      <c r="C173" s="13">
        <f t="shared" si="24"/>
        <v>48913</v>
      </c>
      <c r="D173" s="35">
        <f t="shared" si="25"/>
        <v>1229.8497276987091</v>
      </c>
      <c r="E173" s="36">
        <f t="shared" si="26"/>
        <v>491.42927038492348</v>
      </c>
      <c r="F173" s="12">
        <f t="shared" si="27"/>
        <v>738.42045731378562</v>
      </c>
      <c r="G173" s="11">
        <f t="shared" si="28"/>
        <v>200</v>
      </c>
      <c r="H173" s="10">
        <f t="shared" si="29"/>
        <v>137818.07941607636</v>
      </c>
      <c r="I173" s="9">
        <f t="shared" si="20"/>
        <v>11</v>
      </c>
      <c r="J173" s="8">
        <f t="shared" si="21"/>
        <v>2033</v>
      </c>
      <c r="K173" s="1">
        <f t="shared" si="22"/>
        <v>48884</v>
      </c>
      <c r="L173" s="8"/>
    </row>
    <row r="174" spans="1:12" x14ac:dyDescent="0.35">
      <c r="A174">
        <v>156</v>
      </c>
      <c r="B174" s="13">
        <f t="shared" si="23"/>
        <v>44196</v>
      </c>
      <c r="C174" s="13">
        <f t="shared" si="24"/>
        <v>48944</v>
      </c>
      <c r="D174" s="35">
        <f t="shared" si="25"/>
        <v>1229.8497276987091</v>
      </c>
      <c r="E174" s="36">
        <f t="shared" si="26"/>
        <v>488.10569793193713</v>
      </c>
      <c r="F174" s="12">
        <f t="shared" si="27"/>
        <v>741.74402976677197</v>
      </c>
      <c r="G174" s="11">
        <f t="shared" si="28"/>
        <v>200</v>
      </c>
      <c r="H174" s="10">
        <f t="shared" si="29"/>
        <v>136876.3353863096</v>
      </c>
      <c r="I174" s="9">
        <f t="shared" si="20"/>
        <v>12</v>
      </c>
      <c r="J174" s="8">
        <f t="shared" si="21"/>
        <v>2033</v>
      </c>
      <c r="K174" s="1">
        <f t="shared" si="22"/>
        <v>48914</v>
      </c>
      <c r="L174" s="8"/>
    </row>
    <row r="175" spans="1:12" x14ac:dyDescent="0.35">
      <c r="A175">
        <v>157</v>
      </c>
      <c r="B175" s="13">
        <f t="shared" si="23"/>
        <v>44196</v>
      </c>
      <c r="C175" s="13">
        <f t="shared" si="24"/>
        <v>48975</v>
      </c>
      <c r="D175" s="35">
        <f t="shared" si="25"/>
        <v>1229.8497276987091</v>
      </c>
      <c r="E175" s="36">
        <f t="shared" si="26"/>
        <v>484.77035449317987</v>
      </c>
      <c r="F175" s="12">
        <f t="shared" si="27"/>
        <v>745.07937320552924</v>
      </c>
      <c r="G175" s="11">
        <f t="shared" si="28"/>
        <v>200</v>
      </c>
      <c r="H175" s="10">
        <f t="shared" si="29"/>
        <v>135931.25601310408</v>
      </c>
      <c r="I175" s="9">
        <f t="shared" si="20"/>
        <v>1</v>
      </c>
      <c r="J175" s="8">
        <f t="shared" si="21"/>
        <v>2034</v>
      </c>
      <c r="K175" s="1">
        <f t="shared" si="22"/>
        <v>48945</v>
      </c>
      <c r="L175" s="8"/>
    </row>
    <row r="176" spans="1:12" x14ac:dyDescent="0.35">
      <c r="A176">
        <v>158</v>
      </c>
      <c r="B176" s="13">
        <f t="shared" si="23"/>
        <v>44196</v>
      </c>
      <c r="C176" s="13">
        <f t="shared" si="24"/>
        <v>49003</v>
      </c>
      <c r="D176" s="35">
        <f t="shared" si="25"/>
        <v>1229.8497276987091</v>
      </c>
      <c r="E176" s="36">
        <f t="shared" si="26"/>
        <v>481.42319837974361</v>
      </c>
      <c r="F176" s="12">
        <f t="shared" si="27"/>
        <v>748.42652931896555</v>
      </c>
      <c r="G176" s="11">
        <f t="shared" si="28"/>
        <v>200</v>
      </c>
      <c r="H176" s="10">
        <f t="shared" si="29"/>
        <v>134982.82948378511</v>
      </c>
      <c r="I176" s="9">
        <f t="shared" si="20"/>
        <v>2</v>
      </c>
      <c r="J176" s="8">
        <f t="shared" si="21"/>
        <v>2034</v>
      </c>
      <c r="K176" s="1">
        <f t="shared" si="22"/>
        <v>48976</v>
      </c>
      <c r="L176" s="8"/>
    </row>
    <row r="177" spans="1:12" x14ac:dyDescent="0.35">
      <c r="A177">
        <v>159</v>
      </c>
      <c r="B177" s="13">
        <f t="shared" si="23"/>
        <v>44196</v>
      </c>
      <c r="C177" s="13">
        <f t="shared" si="24"/>
        <v>49034</v>
      </c>
      <c r="D177" s="35">
        <f t="shared" si="25"/>
        <v>1229.8497276987091</v>
      </c>
      <c r="E177" s="36">
        <f t="shared" si="26"/>
        <v>478.06418775507228</v>
      </c>
      <c r="F177" s="12">
        <f t="shared" si="27"/>
        <v>751.78553994363688</v>
      </c>
      <c r="G177" s="11">
        <f t="shared" si="28"/>
        <v>200</v>
      </c>
      <c r="H177" s="10">
        <f t="shared" si="29"/>
        <v>134031.04394384148</v>
      </c>
      <c r="I177" s="9">
        <f t="shared" si="20"/>
        <v>3</v>
      </c>
      <c r="J177" s="8">
        <f t="shared" si="21"/>
        <v>2034</v>
      </c>
      <c r="K177" s="1">
        <f t="shared" si="22"/>
        <v>49004</v>
      </c>
      <c r="L177" s="8"/>
    </row>
    <row r="178" spans="1:12" x14ac:dyDescent="0.35">
      <c r="A178">
        <v>160</v>
      </c>
      <c r="B178" s="13">
        <f t="shared" si="23"/>
        <v>44196</v>
      </c>
      <c r="C178" s="13">
        <f t="shared" si="24"/>
        <v>49064</v>
      </c>
      <c r="D178" s="35">
        <f t="shared" si="25"/>
        <v>1229.8497276987091</v>
      </c>
      <c r="E178" s="36">
        <f t="shared" si="26"/>
        <v>474.69328063443862</v>
      </c>
      <c r="F178" s="12">
        <f t="shared" si="27"/>
        <v>755.15644706427042</v>
      </c>
      <c r="G178" s="11">
        <f t="shared" si="28"/>
        <v>200</v>
      </c>
      <c r="H178" s="10">
        <f t="shared" si="29"/>
        <v>133075.8874967772</v>
      </c>
      <c r="I178" s="9">
        <f t="shared" si="20"/>
        <v>4</v>
      </c>
      <c r="J178" s="8">
        <f t="shared" si="21"/>
        <v>2034</v>
      </c>
      <c r="K178" s="1">
        <f t="shared" si="22"/>
        <v>49035</v>
      </c>
      <c r="L178" s="8"/>
    </row>
    <row r="179" spans="1:12" x14ac:dyDescent="0.35">
      <c r="A179">
        <v>161</v>
      </c>
      <c r="B179" s="13">
        <f t="shared" si="23"/>
        <v>44196</v>
      </c>
      <c r="C179" s="13">
        <f t="shared" si="24"/>
        <v>49095</v>
      </c>
      <c r="D179" s="35">
        <f t="shared" si="25"/>
        <v>1229.8497276987091</v>
      </c>
      <c r="E179" s="36">
        <f t="shared" si="26"/>
        <v>471.31043488441929</v>
      </c>
      <c r="F179" s="12">
        <f t="shared" si="27"/>
        <v>758.53929281428987</v>
      </c>
      <c r="G179" s="11">
        <f t="shared" si="28"/>
        <v>200</v>
      </c>
      <c r="H179" s="10">
        <f t="shared" si="29"/>
        <v>132117.3482039629</v>
      </c>
      <c r="I179" s="9">
        <f t="shared" si="20"/>
        <v>5</v>
      </c>
      <c r="J179" s="8">
        <f t="shared" si="21"/>
        <v>2034</v>
      </c>
      <c r="K179" s="1">
        <f t="shared" si="22"/>
        <v>49065</v>
      </c>
      <c r="L179" s="8"/>
    </row>
    <row r="180" spans="1:12" x14ac:dyDescent="0.35">
      <c r="A180">
        <v>162</v>
      </c>
      <c r="B180" s="13">
        <f t="shared" si="23"/>
        <v>44196</v>
      </c>
      <c r="C180" s="13">
        <f t="shared" si="24"/>
        <v>49125</v>
      </c>
      <c r="D180" s="35">
        <f t="shared" si="25"/>
        <v>1229.8497276987091</v>
      </c>
      <c r="E180" s="36">
        <f t="shared" si="26"/>
        <v>467.91560822236869</v>
      </c>
      <c r="F180" s="12">
        <f t="shared" si="27"/>
        <v>761.93411947634036</v>
      </c>
      <c r="G180" s="11">
        <f t="shared" si="28"/>
        <v>200</v>
      </c>
      <c r="H180" s="10">
        <f t="shared" si="29"/>
        <v>131155.41408448655</v>
      </c>
      <c r="I180" s="9">
        <f t="shared" si="20"/>
        <v>6</v>
      </c>
      <c r="J180" s="8">
        <f t="shared" si="21"/>
        <v>2034</v>
      </c>
      <c r="K180" s="1">
        <f t="shared" si="22"/>
        <v>49096</v>
      </c>
      <c r="L180" s="8"/>
    </row>
    <row r="181" spans="1:12" x14ac:dyDescent="0.35">
      <c r="A181">
        <v>163</v>
      </c>
      <c r="B181" s="13">
        <f t="shared" si="23"/>
        <v>44196</v>
      </c>
      <c r="C181" s="13">
        <f t="shared" si="24"/>
        <v>49156</v>
      </c>
      <c r="D181" s="35">
        <f t="shared" si="25"/>
        <v>1229.8497276987091</v>
      </c>
      <c r="E181" s="36">
        <f t="shared" si="26"/>
        <v>464.50875821588988</v>
      </c>
      <c r="F181" s="12">
        <f t="shared" si="27"/>
        <v>765.34096948281922</v>
      </c>
      <c r="G181" s="11">
        <f t="shared" si="28"/>
        <v>200</v>
      </c>
      <c r="H181" s="10">
        <f t="shared" si="29"/>
        <v>130190.07311500373</v>
      </c>
      <c r="I181" s="9">
        <f t="shared" si="20"/>
        <v>7</v>
      </c>
      <c r="J181" s="8">
        <f t="shared" si="21"/>
        <v>2034</v>
      </c>
      <c r="K181" s="1">
        <f t="shared" si="22"/>
        <v>49126</v>
      </c>
      <c r="L181" s="8"/>
    </row>
    <row r="182" spans="1:12" x14ac:dyDescent="0.35">
      <c r="A182">
        <v>164</v>
      </c>
      <c r="B182" s="13">
        <f t="shared" si="23"/>
        <v>44196</v>
      </c>
      <c r="C182" s="13">
        <f t="shared" si="24"/>
        <v>49187</v>
      </c>
      <c r="D182" s="35">
        <f t="shared" si="25"/>
        <v>1229.8497276987091</v>
      </c>
      <c r="E182" s="36">
        <f t="shared" si="26"/>
        <v>461.08984228230491</v>
      </c>
      <c r="F182" s="12">
        <f t="shared" si="27"/>
        <v>768.75988541640413</v>
      </c>
      <c r="G182" s="11">
        <f t="shared" si="28"/>
        <v>200</v>
      </c>
      <c r="H182" s="10">
        <f t="shared" si="29"/>
        <v>129221.31322958732</v>
      </c>
      <c r="I182" s="9">
        <f t="shared" si="20"/>
        <v>8</v>
      </c>
      <c r="J182" s="8">
        <f t="shared" si="21"/>
        <v>2034</v>
      </c>
      <c r="K182" s="1">
        <f t="shared" si="22"/>
        <v>49157</v>
      </c>
      <c r="L182" s="8"/>
    </row>
    <row r="183" spans="1:12" x14ac:dyDescent="0.35">
      <c r="A183">
        <v>165</v>
      </c>
      <c r="B183" s="13">
        <f t="shared" si="23"/>
        <v>44196</v>
      </c>
      <c r="C183" s="13">
        <f t="shared" si="24"/>
        <v>49217</v>
      </c>
      <c r="D183" s="35">
        <f t="shared" si="25"/>
        <v>1229.8497276987091</v>
      </c>
      <c r="E183" s="36">
        <f t="shared" si="26"/>
        <v>457.65881768812181</v>
      </c>
      <c r="F183" s="12">
        <f t="shared" si="27"/>
        <v>772.19091001058723</v>
      </c>
      <c r="G183" s="11">
        <f t="shared" si="28"/>
        <v>200</v>
      </c>
      <c r="H183" s="10">
        <f t="shared" si="29"/>
        <v>128249.12231957674</v>
      </c>
      <c r="I183" s="9">
        <f t="shared" si="20"/>
        <v>9</v>
      </c>
      <c r="J183" s="8">
        <f t="shared" si="21"/>
        <v>2034</v>
      </c>
      <c r="K183" s="1">
        <f t="shared" si="22"/>
        <v>49188</v>
      </c>
      <c r="L183" s="8"/>
    </row>
    <row r="184" spans="1:12" x14ac:dyDescent="0.35">
      <c r="A184">
        <v>166</v>
      </c>
      <c r="B184" s="13">
        <f t="shared" si="23"/>
        <v>44196</v>
      </c>
      <c r="C184" s="13">
        <f t="shared" si="24"/>
        <v>49248</v>
      </c>
      <c r="D184" s="35">
        <f t="shared" si="25"/>
        <v>1229.8497276987091</v>
      </c>
      <c r="E184" s="36">
        <f t="shared" si="26"/>
        <v>454.21564154850097</v>
      </c>
      <c r="F184" s="12">
        <f t="shared" si="27"/>
        <v>775.63408615020808</v>
      </c>
      <c r="G184" s="11">
        <f t="shared" si="28"/>
        <v>200</v>
      </c>
      <c r="H184" s="10">
        <f t="shared" si="29"/>
        <v>127273.48823342653</v>
      </c>
      <c r="I184" s="9">
        <f t="shared" si="20"/>
        <v>10</v>
      </c>
      <c r="J184" s="8">
        <f t="shared" si="21"/>
        <v>2034</v>
      </c>
      <c r="K184" s="1">
        <f t="shared" si="22"/>
        <v>49218</v>
      </c>
      <c r="L184" s="8"/>
    </row>
    <row r="185" spans="1:12" x14ac:dyDescent="0.35">
      <c r="A185">
        <v>167</v>
      </c>
      <c r="B185" s="13">
        <f t="shared" si="23"/>
        <v>44196</v>
      </c>
      <c r="C185" s="13">
        <f t="shared" si="24"/>
        <v>49278</v>
      </c>
      <c r="D185" s="35">
        <f t="shared" si="25"/>
        <v>1229.8497276987091</v>
      </c>
      <c r="E185" s="36">
        <f t="shared" si="26"/>
        <v>450.76027082671902</v>
      </c>
      <c r="F185" s="12">
        <f t="shared" si="27"/>
        <v>779.08945687199002</v>
      </c>
      <c r="G185" s="11">
        <f t="shared" si="28"/>
        <v>200</v>
      </c>
      <c r="H185" s="10">
        <f t="shared" si="29"/>
        <v>126294.39877655453</v>
      </c>
      <c r="I185" s="9">
        <f t="shared" si="20"/>
        <v>11</v>
      </c>
      <c r="J185" s="8">
        <f t="shared" si="21"/>
        <v>2034</v>
      </c>
      <c r="K185" s="1">
        <f t="shared" si="22"/>
        <v>49249</v>
      </c>
      <c r="L185" s="8"/>
    </row>
    <row r="186" spans="1:12" x14ac:dyDescent="0.35">
      <c r="A186">
        <v>168</v>
      </c>
      <c r="B186" s="13">
        <f t="shared" si="23"/>
        <v>44196</v>
      </c>
      <c r="C186" s="13">
        <f t="shared" si="24"/>
        <v>49309</v>
      </c>
      <c r="D186" s="35">
        <f t="shared" si="25"/>
        <v>1229.8497276987091</v>
      </c>
      <c r="E186" s="36">
        <f t="shared" si="26"/>
        <v>447.29266233363069</v>
      </c>
      <c r="F186" s="12">
        <f t="shared" si="27"/>
        <v>782.55706536507842</v>
      </c>
      <c r="G186" s="11">
        <f t="shared" si="28"/>
        <v>200</v>
      </c>
      <c r="H186" s="10">
        <f t="shared" si="29"/>
        <v>125311.84171118945</v>
      </c>
      <c r="I186" s="9">
        <f t="shared" si="20"/>
        <v>12</v>
      </c>
      <c r="J186" s="8">
        <f t="shared" si="21"/>
        <v>2034</v>
      </c>
      <c r="K186" s="1">
        <f t="shared" si="22"/>
        <v>49279</v>
      </c>
      <c r="L186" s="8"/>
    </row>
    <row r="187" spans="1:12" x14ac:dyDescent="0.35">
      <c r="A187">
        <v>169</v>
      </c>
      <c r="B187" s="13">
        <f t="shared" si="23"/>
        <v>44196</v>
      </c>
      <c r="C187" s="13">
        <f t="shared" si="24"/>
        <v>49340</v>
      </c>
      <c r="D187" s="35">
        <f t="shared" si="25"/>
        <v>1229.8497276987091</v>
      </c>
      <c r="E187" s="36">
        <f t="shared" si="26"/>
        <v>443.81277272712936</v>
      </c>
      <c r="F187" s="12">
        <f t="shared" si="27"/>
        <v>786.03695497157969</v>
      </c>
      <c r="G187" s="11">
        <f t="shared" si="28"/>
        <v>200</v>
      </c>
      <c r="H187" s="10">
        <f t="shared" si="29"/>
        <v>124325.80475621787</v>
      </c>
      <c r="I187" s="9">
        <f t="shared" si="20"/>
        <v>1</v>
      </c>
      <c r="J187" s="8">
        <f t="shared" si="21"/>
        <v>2035</v>
      </c>
      <c r="K187" s="1">
        <f t="shared" si="22"/>
        <v>49310</v>
      </c>
      <c r="L187" s="8"/>
    </row>
    <row r="188" spans="1:12" x14ac:dyDescent="0.35">
      <c r="A188">
        <v>170</v>
      </c>
      <c r="B188" s="13">
        <f t="shared" si="23"/>
        <v>44196</v>
      </c>
      <c r="C188" s="13">
        <f t="shared" si="24"/>
        <v>49368</v>
      </c>
      <c r="D188" s="35">
        <f t="shared" si="25"/>
        <v>1229.8497276987091</v>
      </c>
      <c r="E188" s="36">
        <f t="shared" si="26"/>
        <v>440.32055851160499</v>
      </c>
      <c r="F188" s="12">
        <f t="shared" si="27"/>
        <v>789.52916918710412</v>
      </c>
      <c r="G188" s="11">
        <f t="shared" si="28"/>
        <v>200</v>
      </c>
      <c r="H188" s="10">
        <f t="shared" si="29"/>
        <v>123336.27558703076</v>
      </c>
      <c r="I188" s="9">
        <f t="shared" si="20"/>
        <v>2</v>
      </c>
      <c r="J188" s="8">
        <f t="shared" si="21"/>
        <v>2035</v>
      </c>
      <c r="K188" s="1">
        <f t="shared" si="22"/>
        <v>49341</v>
      </c>
      <c r="L188" s="8"/>
    </row>
    <row r="189" spans="1:12" x14ac:dyDescent="0.35">
      <c r="A189">
        <v>171</v>
      </c>
      <c r="B189" s="13">
        <f t="shared" si="23"/>
        <v>44196</v>
      </c>
      <c r="C189" s="13">
        <f t="shared" si="24"/>
        <v>49399</v>
      </c>
      <c r="D189" s="35">
        <f t="shared" si="25"/>
        <v>1229.8497276987091</v>
      </c>
      <c r="E189" s="36">
        <f t="shared" si="26"/>
        <v>436.81597603740062</v>
      </c>
      <c r="F189" s="12">
        <f t="shared" si="27"/>
        <v>793.03375166130854</v>
      </c>
      <c r="G189" s="11">
        <f t="shared" si="28"/>
        <v>200</v>
      </c>
      <c r="H189" s="10">
        <f t="shared" si="29"/>
        <v>122343.24183536945</v>
      </c>
      <c r="I189" s="9">
        <f t="shared" si="20"/>
        <v>3</v>
      </c>
      <c r="J189" s="8">
        <f t="shared" si="21"/>
        <v>2035</v>
      </c>
      <c r="K189" s="1">
        <f t="shared" si="22"/>
        <v>49369</v>
      </c>
      <c r="L189" s="8"/>
    </row>
    <row r="190" spans="1:12" x14ac:dyDescent="0.35">
      <c r="A190">
        <v>172</v>
      </c>
      <c r="B190" s="13">
        <f t="shared" si="23"/>
        <v>44196</v>
      </c>
      <c r="C190" s="13">
        <f t="shared" si="24"/>
        <v>49429</v>
      </c>
      <c r="D190" s="35">
        <f t="shared" si="25"/>
        <v>1229.8497276987091</v>
      </c>
      <c r="E190" s="36">
        <f t="shared" si="26"/>
        <v>433.29898150026685</v>
      </c>
      <c r="F190" s="12">
        <f t="shared" si="27"/>
        <v>796.55074619844231</v>
      </c>
      <c r="G190" s="11">
        <f t="shared" si="28"/>
        <v>200</v>
      </c>
      <c r="H190" s="10">
        <f t="shared" si="29"/>
        <v>121346.69108917101</v>
      </c>
      <c r="I190" s="9">
        <f t="shared" si="20"/>
        <v>4</v>
      </c>
      <c r="J190" s="8">
        <f t="shared" si="21"/>
        <v>2035</v>
      </c>
      <c r="K190" s="1">
        <f t="shared" si="22"/>
        <v>49400</v>
      </c>
      <c r="L190" s="8"/>
    </row>
    <row r="191" spans="1:12" x14ac:dyDescent="0.35">
      <c r="A191">
        <v>173</v>
      </c>
      <c r="B191" s="13">
        <f t="shared" si="23"/>
        <v>44196</v>
      </c>
      <c r="C191" s="13">
        <f t="shared" si="24"/>
        <v>49460</v>
      </c>
      <c r="D191" s="35">
        <f t="shared" si="25"/>
        <v>1229.8497276987091</v>
      </c>
      <c r="E191" s="36">
        <f t="shared" si="26"/>
        <v>429.76953094081404</v>
      </c>
      <c r="F191" s="12">
        <f t="shared" si="27"/>
        <v>800.08019675789501</v>
      </c>
      <c r="G191" s="11">
        <f t="shared" si="28"/>
        <v>200</v>
      </c>
      <c r="H191" s="10">
        <f t="shared" si="29"/>
        <v>120346.61089241313</v>
      </c>
      <c r="I191" s="9">
        <f t="shared" si="20"/>
        <v>5</v>
      </c>
      <c r="J191" s="8">
        <f t="shared" si="21"/>
        <v>2035</v>
      </c>
      <c r="K191" s="1">
        <f t="shared" si="22"/>
        <v>49430</v>
      </c>
      <c r="L191" s="8"/>
    </row>
    <row r="192" spans="1:12" x14ac:dyDescent="0.35">
      <c r="A192">
        <v>174</v>
      </c>
      <c r="B192" s="13">
        <f t="shared" si="23"/>
        <v>44196</v>
      </c>
      <c r="C192" s="13">
        <f t="shared" si="24"/>
        <v>49490</v>
      </c>
      <c r="D192" s="35">
        <f t="shared" si="25"/>
        <v>1229.8497276987091</v>
      </c>
      <c r="E192" s="36">
        <f t="shared" si="26"/>
        <v>426.22758024396313</v>
      </c>
      <c r="F192" s="12">
        <f t="shared" si="27"/>
        <v>803.62214745474603</v>
      </c>
      <c r="G192" s="11">
        <f t="shared" si="28"/>
        <v>200</v>
      </c>
      <c r="H192" s="10">
        <f t="shared" si="29"/>
        <v>119342.98874495838</v>
      </c>
      <c r="I192" s="9">
        <f t="shared" si="20"/>
        <v>6</v>
      </c>
      <c r="J192" s="8">
        <f t="shared" si="21"/>
        <v>2035</v>
      </c>
      <c r="K192" s="1">
        <f t="shared" si="22"/>
        <v>49461</v>
      </c>
      <c r="L192" s="8"/>
    </row>
    <row r="193" spans="1:12" x14ac:dyDescent="0.35">
      <c r="A193">
        <v>175</v>
      </c>
      <c r="B193" s="13">
        <f t="shared" si="23"/>
        <v>44196</v>
      </c>
      <c r="C193" s="13">
        <f t="shared" si="24"/>
        <v>49521</v>
      </c>
      <c r="D193" s="35">
        <f t="shared" si="25"/>
        <v>1229.8497276987091</v>
      </c>
      <c r="E193" s="36">
        <f t="shared" si="26"/>
        <v>422.6730851383943</v>
      </c>
      <c r="F193" s="12">
        <f t="shared" si="27"/>
        <v>807.1766425603148</v>
      </c>
      <c r="G193" s="11">
        <f t="shared" si="28"/>
        <v>200</v>
      </c>
      <c r="H193" s="10">
        <f t="shared" si="29"/>
        <v>118335.81210239806</v>
      </c>
      <c r="I193" s="9">
        <f t="shared" si="20"/>
        <v>7</v>
      </c>
      <c r="J193" s="8">
        <f t="shared" si="21"/>
        <v>2035</v>
      </c>
      <c r="K193" s="1">
        <f t="shared" si="22"/>
        <v>49491</v>
      </c>
      <c r="L193" s="8"/>
    </row>
    <row r="194" spans="1:12" x14ac:dyDescent="0.35">
      <c r="A194">
        <v>176</v>
      </c>
      <c r="B194" s="13">
        <f t="shared" si="23"/>
        <v>44196</v>
      </c>
      <c r="C194" s="13">
        <f t="shared" si="24"/>
        <v>49552</v>
      </c>
      <c r="D194" s="35">
        <f t="shared" si="25"/>
        <v>1229.8497276987091</v>
      </c>
      <c r="E194" s="36">
        <f t="shared" si="26"/>
        <v>419.1060011959932</v>
      </c>
      <c r="F194" s="12">
        <f t="shared" si="27"/>
        <v>810.74372650271584</v>
      </c>
      <c r="G194" s="11">
        <f t="shared" si="28"/>
        <v>200</v>
      </c>
      <c r="H194" s="10">
        <f t="shared" si="29"/>
        <v>117325.06837589535</v>
      </c>
      <c r="I194" s="9">
        <f t="shared" si="20"/>
        <v>8</v>
      </c>
      <c r="J194" s="8">
        <f t="shared" si="21"/>
        <v>2035</v>
      </c>
      <c r="K194" s="1">
        <f t="shared" si="22"/>
        <v>49522</v>
      </c>
      <c r="L194" s="8"/>
    </row>
    <row r="195" spans="1:12" x14ac:dyDescent="0.35">
      <c r="A195">
        <v>177</v>
      </c>
      <c r="B195" s="13">
        <f t="shared" si="23"/>
        <v>44196</v>
      </c>
      <c r="C195" s="13">
        <f t="shared" si="24"/>
        <v>49582</v>
      </c>
      <c r="D195" s="35">
        <f t="shared" si="25"/>
        <v>1229.8497276987091</v>
      </c>
      <c r="E195" s="36">
        <f t="shared" si="26"/>
        <v>415.52628383129604</v>
      </c>
      <c r="F195" s="12">
        <f t="shared" si="27"/>
        <v>814.32344386741306</v>
      </c>
      <c r="G195" s="11">
        <f t="shared" si="28"/>
        <v>200</v>
      </c>
      <c r="H195" s="10">
        <f t="shared" si="29"/>
        <v>116310.74493202794</v>
      </c>
      <c r="I195" s="9">
        <f t="shared" si="20"/>
        <v>9</v>
      </c>
      <c r="J195" s="8">
        <f t="shared" si="21"/>
        <v>2035</v>
      </c>
      <c r="K195" s="1">
        <f t="shared" si="22"/>
        <v>49553</v>
      </c>
      <c r="L195" s="8"/>
    </row>
    <row r="196" spans="1:12" x14ac:dyDescent="0.35">
      <c r="A196">
        <v>178</v>
      </c>
      <c r="B196" s="13">
        <f t="shared" si="23"/>
        <v>44196</v>
      </c>
      <c r="C196" s="13">
        <f t="shared" si="24"/>
        <v>49613</v>
      </c>
      <c r="D196" s="35">
        <f t="shared" si="25"/>
        <v>1229.8497276987091</v>
      </c>
      <c r="E196" s="36">
        <f t="shared" si="26"/>
        <v>411.93388830093232</v>
      </c>
      <c r="F196" s="12">
        <f t="shared" si="27"/>
        <v>817.91583939777684</v>
      </c>
      <c r="G196" s="11">
        <f t="shared" si="28"/>
        <v>200</v>
      </c>
      <c r="H196" s="10">
        <f t="shared" si="29"/>
        <v>115292.82909263017</v>
      </c>
      <c r="I196" s="9">
        <f t="shared" si="20"/>
        <v>10</v>
      </c>
      <c r="J196" s="8">
        <f t="shared" si="21"/>
        <v>2035</v>
      </c>
      <c r="K196" s="1">
        <f t="shared" si="22"/>
        <v>49583</v>
      </c>
      <c r="L196" s="8"/>
    </row>
    <row r="197" spans="1:12" x14ac:dyDescent="0.35">
      <c r="A197">
        <v>179</v>
      </c>
      <c r="B197" s="13">
        <f t="shared" si="23"/>
        <v>44196</v>
      </c>
      <c r="C197" s="13">
        <f t="shared" si="24"/>
        <v>49643</v>
      </c>
      <c r="D197" s="35">
        <f t="shared" si="25"/>
        <v>1229.8497276987091</v>
      </c>
      <c r="E197" s="36">
        <f t="shared" si="26"/>
        <v>408.32876970306523</v>
      </c>
      <c r="F197" s="12">
        <f t="shared" si="27"/>
        <v>821.52095799564381</v>
      </c>
      <c r="G197" s="11">
        <f t="shared" si="28"/>
        <v>200</v>
      </c>
      <c r="H197" s="10">
        <f t="shared" si="29"/>
        <v>114271.30813463453</v>
      </c>
      <c r="I197" s="9">
        <f t="shared" si="20"/>
        <v>11</v>
      </c>
      <c r="J197" s="8">
        <f t="shared" si="21"/>
        <v>2035</v>
      </c>
      <c r="K197" s="1">
        <f t="shared" si="22"/>
        <v>49614</v>
      </c>
      <c r="L197" s="8"/>
    </row>
    <row r="198" spans="1:12" x14ac:dyDescent="0.35">
      <c r="A198">
        <v>180</v>
      </c>
      <c r="B198" s="13">
        <f t="shared" si="23"/>
        <v>44196</v>
      </c>
      <c r="C198" s="13">
        <f t="shared" si="24"/>
        <v>49674</v>
      </c>
      <c r="D198" s="35">
        <f t="shared" si="25"/>
        <v>1229.8497276987091</v>
      </c>
      <c r="E198" s="36">
        <f t="shared" si="26"/>
        <v>404.71088297683065</v>
      </c>
      <c r="F198" s="12">
        <f t="shared" si="27"/>
        <v>825.13884472187851</v>
      </c>
      <c r="G198" s="11">
        <f t="shared" si="28"/>
        <v>200</v>
      </c>
      <c r="H198" s="10">
        <f t="shared" si="29"/>
        <v>113246.16928991265</v>
      </c>
      <c r="I198" s="9">
        <f t="shared" si="20"/>
        <v>12</v>
      </c>
      <c r="J198" s="8">
        <f t="shared" si="21"/>
        <v>2035</v>
      </c>
      <c r="K198" s="1">
        <f t="shared" si="22"/>
        <v>49644</v>
      </c>
      <c r="L198" s="8"/>
    </row>
    <row r="199" spans="1:12" x14ac:dyDescent="0.35">
      <c r="A199">
        <v>181</v>
      </c>
      <c r="B199" s="13">
        <f t="shared" si="23"/>
        <v>44196</v>
      </c>
      <c r="C199" s="13">
        <f t="shared" si="24"/>
        <v>49705</v>
      </c>
      <c r="D199" s="35">
        <f t="shared" si="25"/>
        <v>1229.8497276987091</v>
      </c>
      <c r="E199" s="36">
        <f t="shared" si="26"/>
        <v>401.08018290177398</v>
      </c>
      <c r="F199" s="12">
        <f t="shared" si="27"/>
        <v>828.76954479693518</v>
      </c>
      <c r="G199" s="11">
        <f t="shared" si="28"/>
        <v>200</v>
      </c>
      <c r="H199" s="10">
        <f t="shared" si="29"/>
        <v>112217.39974511572</v>
      </c>
      <c r="I199" s="9">
        <f t="shared" si="20"/>
        <v>1</v>
      </c>
      <c r="J199" s="8">
        <f t="shared" si="21"/>
        <v>2036</v>
      </c>
      <c r="K199" s="1">
        <f t="shared" si="22"/>
        <v>49675</v>
      </c>
      <c r="L199" s="8"/>
    </row>
    <row r="200" spans="1:12" x14ac:dyDescent="0.35">
      <c r="A200">
        <v>182</v>
      </c>
      <c r="B200" s="13">
        <f t="shared" si="23"/>
        <v>44196</v>
      </c>
      <c r="C200" s="13">
        <f t="shared" si="24"/>
        <v>49734</v>
      </c>
      <c r="D200" s="35">
        <f t="shared" si="25"/>
        <v>1229.8497276987091</v>
      </c>
      <c r="E200" s="36">
        <f t="shared" si="26"/>
        <v>397.43662409728489</v>
      </c>
      <c r="F200" s="12">
        <f t="shared" si="27"/>
        <v>832.41310360142415</v>
      </c>
      <c r="G200" s="11">
        <f t="shared" si="28"/>
        <v>200</v>
      </c>
      <c r="H200" s="10">
        <f t="shared" si="29"/>
        <v>111184.98664151429</v>
      </c>
      <c r="I200" s="9">
        <f t="shared" si="20"/>
        <v>2</v>
      </c>
      <c r="J200" s="8">
        <f t="shared" si="21"/>
        <v>2036</v>
      </c>
      <c r="K200" s="1">
        <f t="shared" si="22"/>
        <v>49706</v>
      </c>
      <c r="L200" s="8"/>
    </row>
    <row r="201" spans="1:12" x14ac:dyDescent="0.35">
      <c r="A201">
        <v>183</v>
      </c>
      <c r="B201" s="13">
        <f t="shared" si="23"/>
        <v>44196</v>
      </c>
      <c r="C201" s="13">
        <f t="shared" si="24"/>
        <v>49765</v>
      </c>
      <c r="D201" s="35">
        <f t="shared" si="25"/>
        <v>1229.8497276987091</v>
      </c>
      <c r="E201" s="36">
        <f t="shared" si="26"/>
        <v>393.78016102202986</v>
      </c>
      <c r="F201" s="12">
        <f t="shared" si="27"/>
        <v>836.06956667667919</v>
      </c>
      <c r="G201" s="11">
        <f t="shared" si="28"/>
        <v>200</v>
      </c>
      <c r="H201" s="10">
        <f t="shared" si="29"/>
        <v>110148.91707483761</v>
      </c>
      <c r="I201" s="9">
        <f t="shared" si="20"/>
        <v>3</v>
      </c>
      <c r="J201" s="8">
        <f t="shared" si="21"/>
        <v>2036</v>
      </c>
      <c r="K201" s="1">
        <f t="shared" si="22"/>
        <v>49735</v>
      </c>
      <c r="L201" s="8"/>
    </row>
    <row r="202" spans="1:12" x14ac:dyDescent="0.35">
      <c r="A202">
        <v>184</v>
      </c>
      <c r="B202" s="13">
        <f t="shared" si="23"/>
        <v>44196</v>
      </c>
      <c r="C202" s="13">
        <f t="shared" si="24"/>
        <v>49795</v>
      </c>
      <c r="D202" s="35">
        <f t="shared" si="25"/>
        <v>1229.8497276987091</v>
      </c>
      <c r="E202" s="36">
        <f t="shared" si="26"/>
        <v>390.11074797338324</v>
      </c>
      <c r="F202" s="12">
        <f t="shared" si="27"/>
        <v>839.73897972532586</v>
      </c>
      <c r="G202" s="11">
        <f t="shared" si="28"/>
        <v>200</v>
      </c>
      <c r="H202" s="10">
        <f t="shared" si="29"/>
        <v>109109.17809511228</v>
      </c>
      <c r="I202" s="9">
        <f t="shared" si="20"/>
        <v>4</v>
      </c>
      <c r="J202" s="8">
        <f t="shared" si="21"/>
        <v>2036</v>
      </c>
      <c r="K202" s="1">
        <f t="shared" si="22"/>
        <v>49766</v>
      </c>
      <c r="L202" s="8"/>
    </row>
    <row r="203" spans="1:12" x14ac:dyDescent="0.35">
      <c r="A203">
        <v>185</v>
      </c>
      <c r="B203" s="13">
        <f t="shared" si="23"/>
        <v>44196</v>
      </c>
      <c r="C203" s="13">
        <f t="shared" si="24"/>
        <v>49826</v>
      </c>
      <c r="D203" s="35">
        <f t="shared" si="25"/>
        <v>1229.8497276987091</v>
      </c>
      <c r="E203" s="36">
        <f t="shared" si="26"/>
        <v>386.42833908685606</v>
      </c>
      <c r="F203" s="12">
        <f t="shared" si="27"/>
        <v>843.42138861185299</v>
      </c>
      <c r="G203" s="11">
        <f t="shared" si="28"/>
        <v>200</v>
      </c>
      <c r="H203" s="10">
        <f t="shared" si="29"/>
        <v>108065.75670650043</v>
      </c>
      <c r="I203" s="9">
        <f t="shared" si="20"/>
        <v>5</v>
      </c>
      <c r="J203" s="8">
        <f t="shared" si="21"/>
        <v>2036</v>
      </c>
      <c r="K203" s="1">
        <f t="shared" si="22"/>
        <v>49796</v>
      </c>
      <c r="L203" s="8"/>
    </row>
    <row r="204" spans="1:12" x14ac:dyDescent="0.35">
      <c r="A204">
        <v>186</v>
      </c>
      <c r="B204" s="13">
        <f t="shared" si="23"/>
        <v>44196</v>
      </c>
      <c r="C204" s="13">
        <f t="shared" si="24"/>
        <v>49856</v>
      </c>
      <c r="D204" s="35">
        <f t="shared" si="25"/>
        <v>1229.8497276987091</v>
      </c>
      <c r="E204" s="36">
        <f t="shared" si="26"/>
        <v>382.73288833552238</v>
      </c>
      <c r="F204" s="12">
        <f t="shared" si="27"/>
        <v>847.11683936318673</v>
      </c>
      <c r="G204" s="11">
        <f t="shared" si="28"/>
        <v>200</v>
      </c>
      <c r="H204" s="10">
        <f t="shared" si="29"/>
        <v>107018.63986713724</v>
      </c>
      <c r="I204" s="9">
        <f t="shared" si="20"/>
        <v>6</v>
      </c>
      <c r="J204" s="8">
        <f t="shared" si="21"/>
        <v>2036</v>
      </c>
      <c r="K204" s="1">
        <f t="shared" si="22"/>
        <v>49827</v>
      </c>
      <c r="L204" s="8"/>
    </row>
    <row r="205" spans="1:12" x14ac:dyDescent="0.35">
      <c r="A205">
        <v>187</v>
      </c>
      <c r="B205" s="13">
        <f t="shared" si="23"/>
        <v>44196</v>
      </c>
      <c r="C205" s="13">
        <f t="shared" si="24"/>
        <v>49887</v>
      </c>
      <c r="D205" s="35">
        <f t="shared" si="25"/>
        <v>1229.8497276987091</v>
      </c>
      <c r="E205" s="36">
        <f t="shared" si="26"/>
        <v>379.02434952944441</v>
      </c>
      <c r="F205" s="12">
        <f t="shared" si="27"/>
        <v>850.8253781692647</v>
      </c>
      <c r="G205" s="11">
        <f t="shared" si="28"/>
        <v>200</v>
      </c>
      <c r="H205" s="10">
        <f t="shared" si="29"/>
        <v>105967.81448896798</v>
      </c>
      <c r="I205" s="9">
        <f t="shared" si="20"/>
        <v>7</v>
      </c>
      <c r="J205" s="8">
        <f t="shared" si="21"/>
        <v>2036</v>
      </c>
      <c r="K205" s="1">
        <f t="shared" si="22"/>
        <v>49857</v>
      </c>
      <c r="L205" s="8"/>
    </row>
    <row r="206" spans="1:12" x14ac:dyDescent="0.35">
      <c r="A206">
        <v>188</v>
      </c>
      <c r="B206" s="13">
        <f t="shared" si="23"/>
        <v>44196</v>
      </c>
      <c r="C206" s="13">
        <f t="shared" si="24"/>
        <v>49918</v>
      </c>
      <c r="D206" s="35">
        <f t="shared" si="25"/>
        <v>1229.8497276987091</v>
      </c>
      <c r="E206" s="36">
        <f t="shared" si="26"/>
        <v>375.30267631509497</v>
      </c>
      <c r="F206" s="12">
        <f t="shared" si="27"/>
        <v>854.54705138361419</v>
      </c>
      <c r="G206" s="11">
        <f t="shared" si="28"/>
        <v>200</v>
      </c>
      <c r="H206" s="10">
        <f t="shared" si="29"/>
        <v>104913.26743758436</v>
      </c>
      <c r="I206" s="9">
        <f t="shared" si="20"/>
        <v>8</v>
      </c>
      <c r="J206" s="8">
        <f t="shared" si="21"/>
        <v>2036</v>
      </c>
      <c r="K206" s="1">
        <f t="shared" si="22"/>
        <v>49888</v>
      </c>
      <c r="L206" s="8"/>
    </row>
    <row r="207" spans="1:12" x14ac:dyDescent="0.35">
      <c r="A207">
        <v>189</v>
      </c>
      <c r="B207" s="13">
        <f t="shared" si="23"/>
        <v>44196</v>
      </c>
      <c r="C207" s="13">
        <f t="shared" si="24"/>
        <v>49948</v>
      </c>
      <c r="D207" s="35">
        <f t="shared" si="25"/>
        <v>1229.8497276987091</v>
      </c>
      <c r="E207" s="36">
        <f t="shared" si="26"/>
        <v>371.56782217477797</v>
      </c>
      <c r="F207" s="12">
        <f t="shared" si="27"/>
        <v>858.28190552393107</v>
      </c>
      <c r="G207" s="11">
        <f t="shared" si="28"/>
        <v>200</v>
      </c>
      <c r="H207" s="10">
        <f t="shared" si="29"/>
        <v>103854.98553206043</v>
      </c>
      <c r="I207" s="9">
        <f t="shared" si="20"/>
        <v>9</v>
      </c>
      <c r="J207" s="8">
        <f t="shared" si="21"/>
        <v>2036</v>
      </c>
      <c r="K207" s="1">
        <f t="shared" si="22"/>
        <v>49919</v>
      </c>
      <c r="L207" s="8"/>
    </row>
    <row r="208" spans="1:12" x14ac:dyDescent="0.35">
      <c r="A208">
        <v>190</v>
      </c>
      <c r="B208" s="13">
        <f t="shared" si="23"/>
        <v>44196</v>
      </c>
      <c r="C208" s="13">
        <f t="shared" si="24"/>
        <v>49979</v>
      </c>
      <c r="D208" s="35">
        <f t="shared" si="25"/>
        <v>1229.8497276987091</v>
      </c>
      <c r="E208" s="36">
        <f t="shared" si="26"/>
        <v>367.81974042604742</v>
      </c>
      <c r="F208" s="12">
        <f t="shared" si="27"/>
        <v>862.02998727266163</v>
      </c>
      <c r="G208" s="11">
        <f t="shared" si="28"/>
        <v>200</v>
      </c>
      <c r="H208" s="10">
        <f t="shared" si="29"/>
        <v>102792.95554478776</v>
      </c>
      <c r="I208" s="9">
        <f t="shared" si="20"/>
        <v>10</v>
      </c>
      <c r="J208" s="8">
        <f t="shared" si="21"/>
        <v>2036</v>
      </c>
      <c r="K208" s="1">
        <f t="shared" si="22"/>
        <v>49949</v>
      </c>
      <c r="L208" s="8"/>
    </row>
    <row r="209" spans="1:12" x14ac:dyDescent="0.35">
      <c r="A209">
        <v>191</v>
      </c>
      <c r="B209" s="13">
        <f t="shared" si="23"/>
        <v>44196</v>
      </c>
      <c r="C209" s="13">
        <f t="shared" si="24"/>
        <v>50009</v>
      </c>
      <c r="D209" s="35">
        <f t="shared" si="25"/>
        <v>1229.8497276987091</v>
      </c>
      <c r="E209" s="36">
        <f t="shared" si="26"/>
        <v>364.05838422112333</v>
      </c>
      <c r="F209" s="12">
        <f t="shared" si="27"/>
        <v>865.79134347758577</v>
      </c>
      <c r="G209" s="11">
        <f t="shared" si="28"/>
        <v>200</v>
      </c>
      <c r="H209" s="10">
        <f t="shared" si="29"/>
        <v>101727.16420131018</v>
      </c>
      <c r="I209" s="9">
        <f t="shared" si="20"/>
        <v>11</v>
      </c>
      <c r="J209" s="8">
        <f t="shared" si="21"/>
        <v>2036</v>
      </c>
      <c r="K209" s="1">
        <f t="shared" si="22"/>
        <v>49980</v>
      </c>
      <c r="L209" s="8"/>
    </row>
    <row r="210" spans="1:12" x14ac:dyDescent="0.35">
      <c r="A210">
        <v>192</v>
      </c>
      <c r="B210" s="13">
        <f t="shared" si="23"/>
        <v>44196</v>
      </c>
      <c r="C210" s="13">
        <f t="shared" si="24"/>
        <v>50040</v>
      </c>
      <c r="D210" s="35">
        <f t="shared" si="25"/>
        <v>1229.8497276987091</v>
      </c>
      <c r="E210" s="36">
        <f t="shared" si="26"/>
        <v>360.28370654630697</v>
      </c>
      <c r="F210" s="12">
        <f t="shared" si="27"/>
        <v>869.56602115240207</v>
      </c>
      <c r="G210" s="11">
        <f t="shared" si="28"/>
        <v>200</v>
      </c>
      <c r="H210" s="10">
        <f t="shared" si="29"/>
        <v>100657.59818015777</v>
      </c>
      <c r="I210" s="9">
        <f t="shared" si="20"/>
        <v>12</v>
      </c>
      <c r="J210" s="8">
        <f t="shared" si="21"/>
        <v>2036</v>
      </c>
      <c r="K210" s="1">
        <f t="shared" si="22"/>
        <v>50010</v>
      </c>
      <c r="L210" s="8"/>
    </row>
    <row r="211" spans="1:12" x14ac:dyDescent="0.35">
      <c r="A211">
        <v>193</v>
      </c>
      <c r="B211" s="13">
        <f t="shared" si="23"/>
        <v>44196</v>
      </c>
      <c r="C211" s="13">
        <f t="shared" si="24"/>
        <v>50071</v>
      </c>
      <c r="D211" s="35">
        <f t="shared" si="25"/>
        <v>1229.8497276987091</v>
      </c>
      <c r="E211" s="36">
        <f t="shared" si="26"/>
        <v>356.49566022139214</v>
      </c>
      <c r="F211" s="12">
        <f t="shared" si="27"/>
        <v>873.3540674773169</v>
      </c>
      <c r="G211" s="11">
        <f t="shared" si="28"/>
        <v>200</v>
      </c>
      <c r="H211" s="10">
        <f t="shared" si="29"/>
        <v>99584.244112680462</v>
      </c>
      <c r="I211" s="9">
        <f t="shared" ref="I211:I274" si="30">MONTH(C211)</f>
        <v>1</v>
      </c>
      <c r="J211" s="8">
        <f t="shared" ref="J211:J274" si="31">YEAR(C211)</f>
        <v>2037</v>
      </c>
      <c r="K211" s="1">
        <f t="shared" ref="K211:K274" si="32">DATE(J211,(I211),1)</f>
        <v>50041</v>
      </c>
      <c r="L211" s="8"/>
    </row>
    <row r="212" spans="1:12" x14ac:dyDescent="0.35">
      <c r="A212">
        <v>194</v>
      </c>
      <c r="B212" s="13">
        <f t="shared" ref="B212:B275" si="33">$D$16</f>
        <v>44196</v>
      </c>
      <c r="C212" s="13">
        <f t="shared" ref="C212:C275" si="34">EDATE(B212,A212)</f>
        <v>50099</v>
      </c>
      <c r="D212" s="35">
        <f t="shared" ref="D212:D275" si="35">IF(AND(ISNUMBER(H211), H211 &gt; $D$4), $D$4, IF(AND(ISNUMBER(H211), H211 &gt; 0), H211 + E212, "Paid Off"))</f>
        <v>1229.8497276987091</v>
      </c>
      <c r="E212" s="36">
        <f t="shared" ref="E212:E275" si="36">IFERROR(H211 * $D$2 / 12, "N/A")</f>
        <v>352.6941978990767</v>
      </c>
      <c r="F212" s="12">
        <f t="shared" ref="F212:F275" si="37">IFERROR(D212 - E212, "N/A")</f>
        <v>877.1555297996324</v>
      </c>
      <c r="G212" s="11">
        <f t="shared" ref="G212:G275" si="38">IF(ISNUMBER(H211), IF(H211 - F212 &gt; $D$5, $D$5, IF(H211 - F212 &gt; 0, H211 - F212, 0)), "N/A")</f>
        <v>200</v>
      </c>
      <c r="H212" s="10">
        <f t="shared" ref="H212:H275" si="39">IFERROR(IF(H211 - F212 - G212 &gt; 0, H211 - F212 - G212, "Paid Off"), "Paid Off")</f>
        <v>98507.088582880824</v>
      </c>
      <c r="I212" s="9">
        <f t="shared" si="30"/>
        <v>2</v>
      </c>
      <c r="J212" s="8">
        <f t="shared" si="31"/>
        <v>2037</v>
      </c>
      <c r="K212" s="1">
        <f t="shared" si="32"/>
        <v>50072</v>
      </c>
      <c r="L212" s="8"/>
    </row>
    <row r="213" spans="1:12" x14ac:dyDescent="0.35">
      <c r="A213">
        <v>195</v>
      </c>
      <c r="B213" s="13">
        <f t="shared" si="33"/>
        <v>44196</v>
      </c>
      <c r="C213" s="13">
        <f t="shared" si="34"/>
        <v>50130</v>
      </c>
      <c r="D213" s="35">
        <f t="shared" si="35"/>
        <v>1229.8497276987091</v>
      </c>
      <c r="E213" s="36">
        <f t="shared" si="36"/>
        <v>348.87927206436962</v>
      </c>
      <c r="F213" s="12">
        <f t="shared" si="37"/>
        <v>880.97045563433949</v>
      </c>
      <c r="G213" s="11">
        <f t="shared" si="38"/>
        <v>200</v>
      </c>
      <c r="H213" s="10">
        <f t="shared" si="39"/>
        <v>97426.118127246489</v>
      </c>
      <c r="I213" s="9">
        <f t="shared" si="30"/>
        <v>3</v>
      </c>
      <c r="J213" s="8">
        <f t="shared" si="31"/>
        <v>2037</v>
      </c>
      <c r="K213" s="1">
        <f t="shared" si="32"/>
        <v>50100</v>
      </c>
      <c r="L213" s="8"/>
    </row>
    <row r="214" spans="1:12" x14ac:dyDescent="0.35">
      <c r="A214">
        <v>196</v>
      </c>
      <c r="B214" s="13">
        <f t="shared" si="33"/>
        <v>44196</v>
      </c>
      <c r="C214" s="13">
        <f t="shared" si="34"/>
        <v>50160</v>
      </c>
      <c r="D214" s="35">
        <f t="shared" si="35"/>
        <v>1229.8497276987091</v>
      </c>
      <c r="E214" s="36">
        <f t="shared" si="36"/>
        <v>345.050835033998</v>
      </c>
      <c r="F214" s="12">
        <f t="shared" si="37"/>
        <v>884.79889266471105</v>
      </c>
      <c r="G214" s="11">
        <f t="shared" si="38"/>
        <v>200</v>
      </c>
      <c r="H214" s="10">
        <f t="shared" si="39"/>
        <v>96341.319234581781</v>
      </c>
      <c r="I214" s="9">
        <f t="shared" si="30"/>
        <v>4</v>
      </c>
      <c r="J214" s="8">
        <f t="shared" si="31"/>
        <v>2037</v>
      </c>
      <c r="K214" s="1">
        <f t="shared" si="32"/>
        <v>50131</v>
      </c>
      <c r="L214" s="8"/>
    </row>
    <row r="215" spans="1:12" x14ac:dyDescent="0.35">
      <c r="A215">
        <v>197</v>
      </c>
      <c r="B215" s="13">
        <f t="shared" si="33"/>
        <v>44196</v>
      </c>
      <c r="C215" s="13">
        <f t="shared" si="34"/>
        <v>50191</v>
      </c>
      <c r="D215" s="35">
        <f t="shared" si="35"/>
        <v>1229.8497276987091</v>
      </c>
      <c r="E215" s="36">
        <f t="shared" si="36"/>
        <v>341.20883895581051</v>
      </c>
      <c r="F215" s="12">
        <f t="shared" si="37"/>
        <v>888.6408887428986</v>
      </c>
      <c r="G215" s="11">
        <f t="shared" si="38"/>
        <v>200</v>
      </c>
      <c r="H215" s="10">
        <f t="shared" si="39"/>
        <v>95252.678345838882</v>
      </c>
      <c r="I215" s="9">
        <f t="shared" si="30"/>
        <v>5</v>
      </c>
      <c r="J215" s="8">
        <f t="shared" si="31"/>
        <v>2037</v>
      </c>
      <c r="K215" s="1">
        <f t="shared" si="32"/>
        <v>50161</v>
      </c>
      <c r="L215" s="8"/>
    </row>
    <row r="216" spans="1:12" x14ac:dyDescent="0.35">
      <c r="A216">
        <v>198</v>
      </c>
      <c r="B216" s="13">
        <f t="shared" si="33"/>
        <v>44196</v>
      </c>
      <c r="C216" s="13">
        <f t="shared" si="34"/>
        <v>50221</v>
      </c>
      <c r="D216" s="35">
        <f t="shared" si="35"/>
        <v>1229.8497276987091</v>
      </c>
      <c r="E216" s="36">
        <f t="shared" si="36"/>
        <v>337.35323580817936</v>
      </c>
      <c r="F216" s="12">
        <f t="shared" si="37"/>
        <v>892.4964918905298</v>
      </c>
      <c r="G216" s="11">
        <f t="shared" si="38"/>
        <v>200</v>
      </c>
      <c r="H216" s="10">
        <f t="shared" si="39"/>
        <v>94160.18185394835</v>
      </c>
      <c r="I216" s="9">
        <f t="shared" si="30"/>
        <v>6</v>
      </c>
      <c r="J216" s="8">
        <f t="shared" si="31"/>
        <v>2037</v>
      </c>
      <c r="K216" s="1">
        <f t="shared" si="32"/>
        <v>50192</v>
      </c>
      <c r="L216" s="8"/>
    </row>
    <row r="217" spans="1:12" x14ac:dyDescent="0.35">
      <c r="A217">
        <v>199</v>
      </c>
      <c r="B217" s="13">
        <f t="shared" si="33"/>
        <v>44196</v>
      </c>
      <c r="C217" s="13">
        <f t="shared" si="34"/>
        <v>50252</v>
      </c>
      <c r="D217" s="35">
        <f t="shared" si="35"/>
        <v>1229.8497276987091</v>
      </c>
      <c r="E217" s="36">
        <f t="shared" si="36"/>
        <v>333.48397739940043</v>
      </c>
      <c r="F217" s="12">
        <f t="shared" si="37"/>
        <v>896.36575029930873</v>
      </c>
      <c r="G217" s="11">
        <f t="shared" si="38"/>
        <v>200</v>
      </c>
      <c r="H217" s="10">
        <f t="shared" si="39"/>
        <v>93063.816103649035</v>
      </c>
      <c r="I217" s="9">
        <f t="shared" si="30"/>
        <v>7</v>
      </c>
      <c r="J217" s="8">
        <f t="shared" si="31"/>
        <v>2037</v>
      </c>
      <c r="K217" s="1">
        <f t="shared" si="32"/>
        <v>50222</v>
      </c>
      <c r="L217" s="8"/>
    </row>
    <row r="218" spans="1:12" x14ac:dyDescent="0.35">
      <c r="A218">
        <v>200</v>
      </c>
      <c r="B218" s="13">
        <f t="shared" si="33"/>
        <v>44196</v>
      </c>
      <c r="C218" s="13">
        <f t="shared" si="34"/>
        <v>50283</v>
      </c>
      <c r="D218" s="35">
        <f t="shared" si="35"/>
        <v>1229.8497276987091</v>
      </c>
      <c r="E218" s="36">
        <f t="shared" si="36"/>
        <v>329.60101536709038</v>
      </c>
      <c r="F218" s="12">
        <f t="shared" si="37"/>
        <v>900.24871233161866</v>
      </c>
      <c r="G218" s="11">
        <f t="shared" si="38"/>
        <v>200</v>
      </c>
      <c r="H218" s="10">
        <f t="shared" si="39"/>
        <v>91963.567391317411</v>
      </c>
      <c r="I218" s="9">
        <f t="shared" si="30"/>
        <v>8</v>
      </c>
      <c r="J218" s="8">
        <f t="shared" si="31"/>
        <v>2037</v>
      </c>
      <c r="K218" s="1">
        <f t="shared" si="32"/>
        <v>50253</v>
      </c>
      <c r="L218" s="8"/>
    </row>
    <row r="219" spans="1:12" x14ac:dyDescent="0.35">
      <c r="A219">
        <v>201</v>
      </c>
      <c r="B219" s="13">
        <f t="shared" si="33"/>
        <v>44196</v>
      </c>
      <c r="C219" s="13">
        <f t="shared" si="34"/>
        <v>50313</v>
      </c>
      <c r="D219" s="35">
        <f t="shared" si="35"/>
        <v>1229.8497276987091</v>
      </c>
      <c r="E219" s="36">
        <f t="shared" si="36"/>
        <v>325.70430117758252</v>
      </c>
      <c r="F219" s="12">
        <f t="shared" si="37"/>
        <v>904.14542652112664</v>
      </c>
      <c r="G219" s="11">
        <f t="shared" si="38"/>
        <v>200</v>
      </c>
      <c r="H219" s="10">
        <f t="shared" si="39"/>
        <v>90859.421964796289</v>
      </c>
      <c r="I219" s="9">
        <f t="shared" si="30"/>
        <v>9</v>
      </c>
      <c r="J219" s="8">
        <f t="shared" si="31"/>
        <v>2037</v>
      </c>
      <c r="K219" s="1">
        <f t="shared" si="32"/>
        <v>50284</v>
      </c>
      <c r="L219" s="8"/>
    </row>
    <row r="220" spans="1:12" x14ac:dyDescent="0.35">
      <c r="A220">
        <v>202</v>
      </c>
      <c r="B220" s="13">
        <f t="shared" si="33"/>
        <v>44196</v>
      </c>
      <c r="C220" s="13">
        <f t="shared" si="34"/>
        <v>50344</v>
      </c>
      <c r="D220" s="35">
        <f t="shared" si="35"/>
        <v>1229.8497276987091</v>
      </c>
      <c r="E220" s="36">
        <f t="shared" si="36"/>
        <v>321.7937861253202</v>
      </c>
      <c r="F220" s="12">
        <f t="shared" si="37"/>
        <v>908.05594157338896</v>
      </c>
      <c r="G220" s="11">
        <f t="shared" si="38"/>
        <v>200</v>
      </c>
      <c r="H220" s="10">
        <f t="shared" si="39"/>
        <v>89751.366023222901</v>
      </c>
      <c r="I220" s="9">
        <f t="shared" si="30"/>
        <v>10</v>
      </c>
      <c r="J220" s="8">
        <f t="shared" si="31"/>
        <v>2037</v>
      </c>
      <c r="K220" s="1">
        <f t="shared" si="32"/>
        <v>50314</v>
      </c>
      <c r="L220" s="8"/>
    </row>
    <row r="221" spans="1:12" x14ac:dyDescent="0.35">
      <c r="A221">
        <v>203</v>
      </c>
      <c r="B221" s="13">
        <f t="shared" si="33"/>
        <v>44196</v>
      </c>
      <c r="C221" s="13">
        <f t="shared" si="34"/>
        <v>50374</v>
      </c>
      <c r="D221" s="35">
        <f t="shared" si="35"/>
        <v>1229.8497276987091</v>
      </c>
      <c r="E221" s="36">
        <f t="shared" si="36"/>
        <v>317.86942133224778</v>
      </c>
      <c r="F221" s="12">
        <f t="shared" si="37"/>
        <v>911.98030636646126</v>
      </c>
      <c r="G221" s="11">
        <f t="shared" si="38"/>
        <v>200</v>
      </c>
      <c r="H221" s="10">
        <f t="shared" si="39"/>
        <v>88639.385716856443</v>
      </c>
      <c r="I221" s="9">
        <f t="shared" si="30"/>
        <v>11</v>
      </c>
      <c r="J221" s="8">
        <f t="shared" si="31"/>
        <v>2037</v>
      </c>
      <c r="K221" s="1">
        <f t="shared" si="32"/>
        <v>50345</v>
      </c>
      <c r="L221" s="8"/>
    </row>
    <row r="222" spans="1:12" x14ac:dyDescent="0.35">
      <c r="A222">
        <v>204</v>
      </c>
      <c r="B222" s="13">
        <f t="shared" si="33"/>
        <v>44196</v>
      </c>
      <c r="C222" s="13">
        <f t="shared" si="34"/>
        <v>50405</v>
      </c>
      <c r="D222" s="35">
        <f t="shared" si="35"/>
        <v>1229.8497276987091</v>
      </c>
      <c r="E222" s="36">
        <f t="shared" si="36"/>
        <v>313.93115774719996</v>
      </c>
      <c r="F222" s="12">
        <f t="shared" si="37"/>
        <v>915.9185699515092</v>
      </c>
      <c r="G222" s="11">
        <f t="shared" si="38"/>
        <v>200</v>
      </c>
      <c r="H222" s="10">
        <f t="shared" si="39"/>
        <v>87523.467146904935</v>
      </c>
      <c r="I222" s="9">
        <f t="shared" si="30"/>
        <v>12</v>
      </c>
      <c r="J222" s="8">
        <f t="shared" si="31"/>
        <v>2037</v>
      </c>
      <c r="K222" s="1">
        <f t="shared" si="32"/>
        <v>50375</v>
      </c>
      <c r="L222" s="8"/>
    </row>
    <row r="223" spans="1:12" x14ac:dyDescent="0.35">
      <c r="A223">
        <v>205</v>
      </c>
      <c r="B223" s="13">
        <f t="shared" si="33"/>
        <v>44196</v>
      </c>
      <c r="C223" s="13">
        <f t="shared" si="34"/>
        <v>50436</v>
      </c>
      <c r="D223" s="35">
        <f t="shared" si="35"/>
        <v>1229.8497276987091</v>
      </c>
      <c r="E223" s="36">
        <f t="shared" si="36"/>
        <v>309.97894614528832</v>
      </c>
      <c r="F223" s="12">
        <f t="shared" si="37"/>
        <v>919.87078155342078</v>
      </c>
      <c r="G223" s="11">
        <f t="shared" si="38"/>
        <v>200</v>
      </c>
      <c r="H223" s="10">
        <f t="shared" si="39"/>
        <v>86403.596365351521</v>
      </c>
      <c r="I223" s="9">
        <f t="shared" si="30"/>
        <v>1</v>
      </c>
      <c r="J223" s="8">
        <f t="shared" si="31"/>
        <v>2038</v>
      </c>
      <c r="K223" s="1">
        <f t="shared" si="32"/>
        <v>50406</v>
      </c>
      <c r="L223" s="8"/>
    </row>
    <row r="224" spans="1:12" x14ac:dyDescent="0.35">
      <c r="A224">
        <v>206</v>
      </c>
      <c r="B224" s="13">
        <f t="shared" si="33"/>
        <v>44196</v>
      </c>
      <c r="C224" s="13">
        <f t="shared" si="34"/>
        <v>50464</v>
      </c>
      <c r="D224" s="35">
        <f t="shared" si="35"/>
        <v>1229.8497276987091</v>
      </c>
      <c r="E224" s="36">
        <f t="shared" si="36"/>
        <v>306.01273712728664</v>
      </c>
      <c r="F224" s="12">
        <f t="shared" si="37"/>
        <v>923.83699057142246</v>
      </c>
      <c r="G224" s="11">
        <f t="shared" si="38"/>
        <v>200</v>
      </c>
      <c r="H224" s="10">
        <f t="shared" si="39"/>
        <v>85279.7593747801</v>
      </c>
      <c r="I224" s="9">
        <f t="shared" si="30"/>
        <v>2</v>
      </c>
      <c r="J224" s="8">
        <f t="shared" si="31"/>
        <v>2038</v>
      </c>
      <c r="K224" s="1">
        <f t="shared" si="32"/>
        <v>50437</v>
      </c>
      <c r="L224" s="8"/>
    </row>
    <row r="225" spans="1:12" x14ac:dyDescent="0.35">
      <c r="A225">
        <v>207</v>
      </c>
      <c r="B225" s="13">
        <f t="shared" si="33"/>
        <v>44196</v>
      </c>
      <c r="C225" s="13">
        <f t="shared" si="34"/>
        <v>50495</v>
      </c>
      <c r="D225" s="35">
        <f t="shared" si="35"/>
        <v>1229.8497276987091</v>
      </c>
      <c r="E225" s="36">
        <f t="shared" si="36"/>
        <v>302.03248111901286</v>
      </c>
      <c r="F225" s="12">
        <f t="shared" si="37"/>
        <v>927.8172465796963</v>
      </c>
      <c r="G225" s="11">
        <f t="shared" si="38"/>
        <v>200</v>
      </c>
      <c r="H225" s="10">
        <f t="shared" si="39"/>
        <v>84151.942128200404</v>
      </c>
      <c r="I225" s="9">
        <f t="shared" si="30"/>
        <v>3</v>
      </c>
      <c r="J225" s="8">
        <f t="shared" si="31"/>
        <v>2038</v>
      </c>
      <c r="K225" s="1">
        <f t="shared" si="32"/>
        <v>50465</v>
      </c>
      <c r="L225" s="8"/>
    </row>
    <row r="226" spans="1:12" x14ac:dyDescent="0.35">
      <c r="A226">
        <v>208</v>
      </c>
      <c r="B226" s="13">
        <f t="shared" si="33"/>
        <v>44196</v>
      </c>
      <c r="C226" s="13">
        <f t="shared" si="34"/>
        <v>50525</v>
      </c>
      <c r="D226" s="35">
        <f t="shared" si="35"/>
        <v>1229.8497276987091</v>
      </c>
      <c r="E226" s="36">
        <f t="shared" si="36"/>
        <v>298.03812837070979</v>
      </c>
      <c r="F226" s="12">
        <f t="shared" si="37"/>
        <v>931.81159932799937</v>
      </c>
      <c r="G226" s="11">
        <f t="shared" si="38"/>
        <v>200</v>
      </c>
      <c r="H226" s="10">
        <f t="shared" si="39"/>
        <v>83020.130528872411</v>
      </c>
      <c r="I226" s="9">
        <f t="shared" si="30"/>
        <v>4</v>
      </c>
      <c r="J226" s="8">
        <f t="shared" si="31"/>
        <v>2038</v>
      </c>
      <c r="K226" s="1">
        <f t="shared" si="32"/>
        <v>50496</v>
      </c>
      <c r="L226" s="8"/>
    </row>
    <row r="227" spans="1:12" x14ac:dyDescent="0.35">
      <c r="A227">
        <v>209</v>
      </c>
      <c r="B227" s="13">
        <f t="shared" si="33"/>
        <v>44196</v>
      </c>
      <c r="C227" s="13">
        <f t="shared" si="34"/>
        <v>50556</v>
      </c>
      <c r="D227" s="35">
        <f t="shared" si="35"/>
        <v>1229.8497276987091</v>
      </c>
      <c r="E227" s="36">
        <f t="shared" si="36"/>
        <v>294.02962895642315</v>
      </c>
      <c r="F227" s="12">
        <f t="shared" si="37"/>
        <v>935.82009874228595</v>
      </c>
      <c r="G227" s="11">
        <f t="shared" si="38"/>
        <v>200</v>
      </c>
      <c r="H227" s="10">
        <f t="shared" si="39"/>
        <v>81884.310430130121</v>
      </c>
      <c r="I227" s="9">
        <f t="shared" si="30"/>
        <v>5</v>
      </c>
      <c r="J227" s="8">
        <f t="shared" si="31"/>
        <v>2038</v>
      </c>
      <c r="K227" s="1">
        <f t="shared" si="32"/>
        <v>50526</v>
      </c>
      <c r="L227" s="8"/>
    </row>
    <row r="228" spans="1:12" x14ac:dyDescent="0.35">
      <c r="A228">
        <v>210</v>
      </c>
      <c r="B228" s="13">
        <f t="shared" si="33"/>
        <v>44196</v>
      </c>
      <c r="C228" s="13">
        <f t="shared" si="34"/>
        <v>50586</v>
      </c>
      <c r="D228" s="35">
        <f t="shared" si="35"/>
        <v>1229.8497276987091</v>
      </c>
      <c r="E228" s="36">
        <f t="shared" si="36"/>
        <v>290.00693277337751</v>
      </c>
      <c r="F228" s="12">
        <f t="shared" si="37"/>
        <v>939.84279492533165</v>
      </c>
      <c r="G228" s="11">
        <f t="shared" si="38"/>
        <v>200</v>
      </c>
      <c r="H228" s="10">
        <f t="shared" si="39"/>
        <v>80744.467635204783</v>
      </c>
      <c r="I228" s="9">
        <f t="shared" si="30"/>
        <v>6</v>
      </c>
      <c r="J228" s="8">
        <f t="shared" si="31"/>
        <v>2038</v>
      </c>
      <c r="K228" s="1">
        <f t="shared" si="32"/>
        <v>50557</v>
      </c>
      <c r="L228" s="8"/>
    </row>
    <row r="229" spans="1:12" x14ac:dyDescent="0.35">
      <c r="A229">
        <v>211</v>
      </c>
      <c r="B229" s="13">
        <f t="shared" si="33"/>
        <v>44196</v>
      </c>
      <c r="C229" s="13">
        <f t="shared" si="34"/>
        <v>50617</v>
      </c>
      <c r="D229" s="35">
        <f t="shared" si="35"/>
        <v>1229.8497276987091</v>
      </c>
      <c r="E229" s="36">
        <f t="shared" si="36"/>
        <v>285.96998954135029</v>
      </c>
      <c r="F229" s="12">
        <f t="shared" si="37"/>
        <v>943.87973815735882</v>
      </c>
      <c r="G229" s="11">
        <f t="shared" si="38"/>
        <v>200</v>
      </c>
      <c r="H229" s="10">
        <f t="shared" si="39"/>
        <v>79600.58789704743</v>
      </c>
      <c r="I229" s="9">
        <f t="shared" si="30"/>
        <v>7</v>
      </c>
      <c r="J229" s="8">
        <f t="shared" si="31"/>
        <v>2038</v>
      </c>
      <c r="K229" s="1">
        <f t="shared" si="32"/>
        <v>50587</v>
      </c>
      <c r="L229" s="8"/>
    </row>
    <row r="230" spans="1:12" x14ac:dyDescent="0.35">
      <c r="A230">
        <v>212</v>
      </c>
      <c r="B230" s="13">
        <f t="shared" si="33"/>
        <v>44196</v>
      </c>
      <c r="C230" s="13">
        <f t="shared" si="34"/>
        <v>50648</v>
      </c>
      <c r="D230" s="35">
        <f t="shared" si="35"/>
        <v>1229.8497276987091</v>
      </c>
      <c r="E230" s="36">
        <f t="shared" si="36"/>
        <v>281.91874880204301</v>
      </c>
      <c r="F230" s="12">
        <f t="shared" si="37"/>
        <v>947.93097889666615</v>
      </c>
      <c r="G230" s="11">
        <f t="shared" si="38"/>
        <v>200</v>
      </c>
      <c r="H230" s="10">
        <f t="shared" si="39"/>
        <v>78452.656918150766</v>
      </c>
      <c r="I230" s="9">
        <f t="shared" si="30"/>
        <v>8</v>
      </c>
      <c r="J230" s="8">
        <f t="shared" si="31"/>
        <v>2038</v>
      </c>
      <c r="K230" s="1">
        <f t="shared" si="32"/>
        <v>50618</v>
      </c>
      <c r="L230" s="8"/>
    </row>
    <row r="231" spans="1:12" x14ac:dyDescent="0.35">
      <c r="A231">
        <v>213</v>
      </c>
      <c r="B231" s="13">
        <f t="shared" si="33"/>
        <v>44196</v>
      </c>
      <c r="C231" s="13">
        <f t="shared" si="34"/>
        <v>50678</v>
      </c>
      <c r="D231" s="35">
        <f t="shared" si="35"/>
        <v>1229.8497276987091</v>
      </c>
      <c r="E231" s="36">
        <f t="shared" si="36"/>
        <v>277.85315991845067</v>
      </c>
      <c r="F231" s="12">
        <f t="shared" si="37"/>
        <v>951.99656778025837</v>
      </c>
      <c r="G231" s="11">
        <f t="shared" si="38"/>
        <v>200</v>
      </c>
      <c r="H231" s="10">
        <f t="shared" si="39"/>
        <v>77300.660350370512</v>
      </c>
      <c r="I231" s="9">
        <f t="shared" si="30"/>
        <v>9</v>
      </c>
      <c r="J231" s="8">
        <f t="shared" si="31"/>
        <v>2038</v>
      </c>
      <c r="K231" s="1">
        <f t="shared" si="32"/>
        <v>50649</v>
      </c>
      <c r="L231" s="8"/>
    </row>
    <row r="232" spans="1:12" x14ac:dyDescent="0.35">
      <c r="A232">
        <v>214</v>
      </c>
      <c r="B232" s="13">
        <f t="shared" si="33"/>
        <v>44196</v>
      </c>
      <c r="C232" s="13">
        <f t="shared" si="34"/>
        <v>50709</v>
      </c>
      <c r="D232" s="35">
        <f t="shared" si="35"/>
        <v>1229.8497276987091</v>
      </c>
      <c r="E232" s="36">
        <f t="shared" si="36"/>
        <v>273.77317207422891</v>
      </c>
      <c r="F232" s="12">
        <f t="shared" si="37"/>
        <v>956.07655562448019</v>
      </c>
      <c r="G232" s="11">
        <f t="shared" si="38"/>
        <v>200</v>
      </c>
      <c r="H232" s="10">
        <f t="shared" si="39"/>
        <v>76144.583794746039</v>
      </c>
      <c r="I232" s="9">
        <f t="shared" si="30"/>
        <v>10</v>
      </c>
      <c r="J232" s="8">
        <f t="shared" si="31"/>
        <v>2038</v>
      </c>
      <c r="K232" s="1">
        <f t="shared" si="32"/>
        <v>50679</v>
      </c>
      <c r="L232" s="8"/>
    </row>
    <row r="233" spans="1:12" x14ac:dyDescent="0.35">
      <c r="A233">
        <v>215</v>
      </c>
      <c r="B233" s="13">
        <f t="shared" si="33"/>
        <v>44196</v>
      </c>
      <c r="C233" s="13">
        <f t="shared" si="34"/>
        <v>50739</v>
      </c>
      <c r="D233" s="35">
        <f t="shared" si="35"/>
        <v>1229.8497276987091</v>
      </c>
      <c r="E233" s="36">
        <f t="shared" si="36"/>
        <v>269.67873427305892</v>
      </c>
      <c r="F233" s="12">
        <f t="shared" si="37"/>
        <v>960.17099342565018</v>
      </c>
      <c r="G233" s="11">
        <f t="shared" si="38"/>
        <v>200</v>
      </c>
      <c r="H233" s="10">
        <f t="shared" si="39"/>
        <v>74984.412801320388</v>
      </c>
      <c r="I233" s="9">
        <f t="shared" si="30"/>
        <v>11</v>
      </c>
      <c r="J233" s="8">
        <f t="shared" si="31"/>
        <v>2038</v>
      </c>
      <c r="K233" s="1">
        <f t="shared" si="32"/>
        <v>50710</v>
      </c>
      <c r="L233" s="8"/>
    </row>
    <row r="234" spans="1:12" x14ac:dyDescent="0.35">
      <c r="A234">
        <v>216</v>
      </c>
      <c r="B234" s="13">
        <f t="shared" si="33"/>
        <v>44196</v>
      </c>
      <c r="C234" s="13">
        <f t="shared" si="34"/>
        <v>50770</v>
      </c>
      <c r="D234" s="35">
        <f t="shared" si="35"/>
        <v>1229.8497276987091</v>
      </c>
      <c r="E234" s="36">
        <f t="shared" si="36"/>
        <v>265.56979533800973</v>
      </c>
      <c r="F234" s="12">
        <f t="shared" si="37"/>
        <v>964.27993236069938</v>
      </c>
      <c r="G234" s="11">
        <f t="shared" si="38"/>
        <v>200</v>
      </c>
      <c r="H234" s="10">
        <f t="shared" si="39"/>
        <v>73820.132868959685</v>
      </c>
      <c r="I234" s="9">
        <f t="shared" si="30"/>
        <v>12</v>
      </c>
      <c r="J234" s="8">
        <f t="shared" si="31"/>
        <v>2038</v>
      </c>
      <c r="K234" s="1">
        <f t="shared" si="32"/>
        <v>50740</v>
      </c>
      <c r="L234" s="8"/>
    </row>
    <row r="235" spans="1:12" x14ac:dyDescent="0.35">
      <c r="A235">
        <v>217</v>
      </c>
      <c r="B235" s="13">
        <f t="shared" si="33"/>
        <v>44196</v>
      </c>
      <c r="C235" s="13">
        <f t="shared" si="34"/>
        <v>50801</v>
      </c>
      <c r="D235" s="35">
        <f t="shared" si="35"/>
        <v>1229.8497276987091</v>
      </c>
      <c r="E235" s="36">
        <f t="shared" si="36"/>
        <v>261.44630391089891</v>
      </c>
      <c r="F235" s="12">
        <f t="shared" si="37"/>
        <v>968.4034237878102</v>
      </c>
      <c r="G235" s="11">
        <f t="shared" si="38"/>
        <v>200</v>
      </c>
      <c r="H235" s="10">
        <f t="shared" si="39"/>
        <v>72651.729445171877</v>
      </c>
      <c r="I235" s="9">
        <f t="shared" si="30"/>
        <v>1</v>
      </c>
      <c r="J235" s="8">
        <f t="shared" si="31"/>
        <v>2039</v>
      </c>
      <c r="K235" s="1">
        <f t="shared" si="32"/>
        <v>50771</v>
      </c>
      <c r="L235" s="8"/>
    </row>
    <row r="236" spans="1:12" x14ac:dyDescent="0.35">
      <c r="A236">
        <v>218</v>
      </c>
      <c r="B236" s="13">
        <f t="shared" si="33"/>
        <v>44196</v>
      </c>
      <c r="C236" s="13">
        <f t="shared" si="34"/>
        <v>50829</v>
      </c>
      <c r="D236" s="35">
        <f t="shared" si="35"/>
        <v>1229.8497276987091</v>
      </c>
      <c r="E236" s="36">
        <f t="shared" si="36"/>
        <v>257.30820845165039</v>
      </c>
      <c r="F236" s="12">
        <f t="shared" si="37"/>
        <v>972.54151924705866</v>
      </c>
      <c r="G236" s="11">
        <f t="shared" si="38"/>
        <v>200</v>
      </c>
      <c r="H236" s="10">
        <f t="shared" si="39"/>
        <v>71479.187925924824</v>
      </c>
      <c r="I236" s="9">
        <f t="shared" si="30"/>
        <v>2</v>
      </c>
      <c r="J236" s="8">
        <f t="shared" si="31"/>
        <v>2039</v>
      </c>
      <c r="K236" s="1">
        <f t="shared" si="32"/>
        <v>50802</v>
      </c>
      <c r="L236" s="8"/>
    </row>
    <row r="237" spans="1:12" x14ac:dyDescent="0.35">
      <c r="A237">
        <v>219</v>
      </c>
      <c r="B237" s="13">
        <f t="shared" si="33"/>
        <v>44196</v>
      </c>
      <c r="C237" s="13">
        <f t="shared" si="34"/>
        <v>50860</v>
      </c>
      <c r="D237" s="35">
        <f t="shared" si="35"/>
        <v>1229.8497276987091</v>
      </c>
      <c r="E237" s="36">
        <f t="shared" si="36"/>
        <v>253.15545723765044</v>
      </c>
      <c r="F237" s="12">
        <f t="shared" si="37"/>
        <v>976.69427046105864</v>
      </c>
      <c r="G237" s="11">
        <f t="shared" si="38"/>
        <v>200</v>
      </c>
      <c r="H237" s="10">
        <f t="shared" si="39"/>
        <v>70302.493655463768</v>
      </c>
      <c r="I237" s="9">
        <f t="shared" si="30"/>
        <v>3</v>
      </c>
      <c r="J237" s="8">
        <f t="shared" si="31"/>
        <v>2039</v>
      </c>
      <c r="K237" s="1">
        <f t="shared" si="32"/>
        <v>50830</v>
      </c>
      <c r="L237" s="8"/>
    </row>
    <row r="238" spans="1:12" x14ac:dyDescent="0.35">
      <c r="A238">
        <v>220</v>
      </c>
      <c r="B238" s="13">
        <f t="shared" si="33"/>
        <v>44196</v>
      </c>
      <c r="C238" s="13">
        <f t="shared" si="34"/>
        <v>50890</v>
      </c>
      <c r="D238" s="35">
        <f t="shared" si="35"/>
        <v>1229.8497276987091</v>
      </c>
      <c r="E238" s="36">
        <f t="shared" si="36"/>
        <v>248.98799836310084</v>
      </c>
      <c r="F238" s="12">
        <f t="shared" si="37"/>
        <v>980.86172933560829</v>
      </c>
      <c r="G238" s="11">
        <f t="shared" si="38"/>
        <v>200</v>
      </c>
      <c r="H238" s="10">
        <f t="shared" si="39"/>
        <v>69121.631926128161</v>
      </c>
      <c r="I238" s="9">
        <f t="shared" si="30"/>
        <v>4</v>
      </c>
      <c r="J238" s="8">
        <f t="shared" si="31"/>
        <v>2039</v>
      </c>
      <c r="K238" s="1">
        <f t="shared" si="32"/>
        <v>50861</v>
      </c>
      <c r="L238" s="8"/>
    </row>
    <row r="239" spans="1:12" x14ac:dyDescent="0.35">
      <c r="A239">
        <v>221</v>
      </c>
      <c r="B239" s="13">
        <f t="shared" si="33"/>
        <v>44196</v>
      </c>
      <c r="C239" s="13">
        <f t="shared" si="34"/>
        <v>50921</v>
      </c>
      <c r="D239" s="35">
        <f t="shared" si="35"/>
        <v>1229.8497276987091</v>
      </c>
      <c r="E239" s="36">
        <f t="shared" si="36"/>
        <v>244.80577973837057</v>
      </c>
      <c r="F239" s="12">
        <f t="shared" si="37"/>
        <v>985.04394796033853</v>
      </c>
      <c r="G239" s="11">
        <f t="shared" si="38"/>
        <v>200</v>
      </c>
      <c r="H239" s="10">
        <f t="shared" si="39"/>
        <v>67936.587978167823</v>
      </c>
      <c r="I239" s="9">
        <f t="shared" si="30"/>
        <v>5</v>
      </c>
      <c r="J239" s="8">
        <f t="shared" si="31"/>
        <v>2039</v>
      </c>
      <c r="K239" s="1">
        <f t="shared" si="32"/>
        <v>50891</v>
      </c>
      <c r="L239" s="8"/>
    </row>
    <row r="240" spans="1:12" x14ac:dyDescent="0.35">
      <c r="A240">
        <v>222</v>
      </c>
      <c r="B240" s="13">
        <f t="shared" si="33"/>
        <v>44196</v>
      </c>
      <c r="C240" s="13">
        <f t="shared" si="34"/>
        <v>50951</v>
      </c>
      <c r="D240" s="35">
        <f t="shared" si="35"/>
        <v>1229.8497276987091</v>
      </c>
      <c r="E240" s="36">
        <f t="shared" si="36"/>
        <v>240.6087490893444</v>
      </c>
      <c r="F240" s="12">
        <f t="shared" si="37"/>
        <v>989.24097860936467</v>
      </c>
      <c r="G240" s="11">
        <f t="shared" si="38"/>
        <v>200</v>
      </c>
      <c r="H240" s="10">
        <f t="shared" si="39"/>
        <v>66747.34699955846</v>
      </c>
      <c r="I240" s="9">
        <f t="shared" si="30"/>
        <v>6</v>
      </c>
      <c r="J240" s="8">
        <f t="shared" si="31"/>
        <v>2039</v>
      </c>
      <c r="K240" s="1">
        <f t="shared" si="32"/>
        <v>50922</v>
      </c>
      <c r="L240" s="8"/>
    </row>
    <row r="241" spans="1:12" x14ac:dyDescent="0.35">
      <c r="A241">
        <v>223</v>
      </c>
      <c r="B241" s="13">
        <f t="shared" si="33"/>
        <v>44196</v>
      </c>
      <c r="C241" s="13">
        <f t="shared" si="34"/>
        <v>50982</v>
      </c>
      <c r="D241" s="35">
        <f t="shared" si="35"/>
        <v>1229.8497276987091</v>
      </c>
      <c r="E241" s="36">
        <f t="shared" si="36"/>
        <v>236.39685395676955</v>
      </c>
      <c r="F241" s="12">
        <f t="shared" si="37"/>
        <v>993.45287374193958</v>
      </c>
      <c r="G241" s="11">
        <f t="shared" si="38"/>
        <v>200</v>
      </c>
      <c r="H241" s="10">
        <f t="shared" si="39"/>
        <v>65553.894125816514</v>
      </c>
      <c r="I241" s="9">
        <f t="shared" si="30"/>
        <v>7</v>
      </c>
      <c r="J241" s="8">
        <f t="shared" si="31"/>
        <v>2039</v>
      </c>
      <c r="K241" s="1">
        <f t="shared" si="32"/>
        <v>50952</v>
      </c>
      <c r="L241" s="8"/>
    </row>
    <row r="242" spans="1:12" x14ac:dyDescent="0.35">
      <c r="A242">
        <v>224</v>
      </c>
      <c r="B242" s="13">
        <f t="shared" si="33"/>
        <v>44196</v>
      </c>
      <c r="C242" s="13">
        <f t="shared" si="34"/>
        <v>51013</v>
      </c>
      <c r="D242" s="35">
        <f t="shared" si="35"/>
        <v>1229.8497276987091</v>
      </c>
      <c r="E242" s="36">
        <f t="shared" si="36"/>
        <v>232.17004169560016</v>
      </c>
      <c r="F242" s="12">
        <f t="shared" si="37"/>
        <v>997.67968600310894</v>
      </c>
      <c r="G242" s="11">
        <f t="shared" si="38"/>
        <v>200</v>
      </c>
      <c r="H242" s="10">
        <f t="shared" si="39"/>
        <v>64356.214439813404</v>
      </c>
      <c r="I242" s="9">
        <f t="shared" si="30"/>
        <v>8</v>
      </c>
      <c r="J242" s="8">
        <f t="shared" si="31"/>
        <v>2039</v>
      </c>
      <c r="K242" s="1">
        <f t="shared" si="32"/>
        <v>50983</v>
      </c>
      <c r="L242" s="8"/>
    </row>
    <row r="243" spans="1:12" x14ac:dyDescent="0.35">
      <c r="A243">
        <v>225</v>
      </c>
      <c r="B243" s="13">
        <f t="shared" si="33"/>
        <v>44196</v>
      </c>
      <c r="C243" s="13">
        <f t="shared" si="34"/>
        <v>51043</v>
      </c>
      <c r="D243" s="35">
        <f t="shared" si="35"/>
        <v>1229.8497276987091</v>
      </c>
      <c r="E243" s="36">
        <f t="shared" si="36"/>
        <v>227.92825947433914</v>
      </c>
      <c r="F243" s="12">
        <f t="shared" si="37"/>
        <v>1001.92146822437</v>
      </c>
      <c r="G243" s="11">
        <f t="shared" si="38"/>
        <v>200</v>
      </c>
      <c r="H243" s="10">
        <f t="shared" si="39"/>
        <v>63154.292971589035</v>
      </c>
      <c r="I243" s="9">
        <f t="shared" si="30"/>
        <v>9</v>
      </c>
      <c r="J243" s="8">
        <f t="shared" si="31"/>
        <v>2039</v>
      </c>
      <c r="K243" s="1">
        <f t="shared" si="32"/>
        <v>51014</v>
      </c>
      <c r="L243" s="8"/>
    </row>
    <row r="244" spans="1:12" x14ac:dyDescent="0.35">
      <c r="A244">
        <v>226</v>
      </c>
      <c r="B244" s="13">
        <f t="shared" si="33"/>
        <v>44196</v>
      </c>
      <c r="C244" s="13">
        <f t="shared" si="34"/>
        <v>51074</v>
      </c>
      <c r="D244" s="35">
        <f t="shared" si="35"/>
        <v>1229.8497276987091</v>
      </c>
      <c r="E244" s="36">
        <f t="shared" si="36"/>
        <v>223.67145427437785</v>
      </c>
      <c r="F244" s="12">
        <f t="shared" si="37"/>
        <v>1006.1782734243312</v>
      </c>
      <c r="G244" s="11">
        <f t="shared" si="38"/>
        <v>200</v>
      </c>
      <c r="H244" s="10">
        <f t="shared" si="39"/>
        <v>61948.114698164703</v>
      </c>
      <c r="I244" s="9">
        <f t="shared" si="30"/>
        <v>10</v>
      </c>
      <c r="J244" s="8">
        <f t="shared" si="31"/>
        <v>2039</v>
      </c>
      <c r="K244" s="1">
        <f t="shared" si="32"/>
        <v>51044</v>
      </c>
      <c r="L244" s="8"/>
    </row>
    <row r="245" spans="1:12" x14ac:dyDescent="0.35">
      <c r="A245">
        <v>227</v>
      </c>
      <c r="B245" s="13">
        <f t="shared" si="33"/>
        <v>44196</v>
      </c>
      <c r="C245" s="13">
        <f t="shared" si="34"/>
        <v>51104</v>
      </c>
      <c r="D245" s="35">
        <f t="shared" si="35"/>
        <v>1229.8497276987091</v>
      </c>
      <c r="E245" s="36">
        <f t="shared" si="36"/>
        <v>219.39957288933331</v>
      </c>
      <c r="F245" s="12">
        <f t="shared" si="37"/>
        <v>1010.4501548093758</v>
      </c>
      <c r="G245" s="11">
        <f t="shared" si="38"/>
        <v>200</v>
      </c>
      <c r="H245" s="10">
        <f t="shared" si="39"/>
        <v>60737.664543355328</v>
      </c>
      <c r="I245" s="9">
        <f t="shared" si="30"/>
        <v>11</v>
      </c>
      <c r="J245" s="8">
        <f t="shared" si="31"/>
        <v>2039</v>
      </c>
      <c r="K245" s="1">
        <f t="shared" si="32"/>
        <v>51075</v>
      </c>
      <c r="L245" s="8"/>
    </row>
    <row r="246" spans="1:12" x14ac:dyDescent="0.35">
      <c r="A246">
        <v>228</v>
      </c>
      <c r="B246" s="13">
        <f t="shared" si="33"/>
        <v>44196</v>
      </c>
      <c r="C246" s="13">
        <f t="shared" si="34"/>
        <v>51135</v>
      </c>
      <c r="D246" s="35">
        <f t="shared" si="35"/>
        <v>1229.8497276987091</v>
      </c>
      <c r="E246" s="36">
        <f t="shared" si="36"/>
        <v>215.11256192438347</v>
      </c>
      <c r="F246" s="12">
        <f t="shared" si="37"/>
        <v>1014.7371657743256</v>
      </c>
      <c r="G246" s="11">
        <f t="shared" si="38"/>
        <v>200</v>
      </c>
      <c r="H246" s="10">
        <f t="shared" si="39"/>
        <v>59522.927377581</v>
      </c>
      <c r="I246" s="9">
        <f t="shared" si="30"/>
        <v>12</v>
      </c>
      <c r="J246" s="8">
        <f t="shared" si="31"/>
        <v>2039</v>
      </c>
      <c r="K246" s="1">
        <f t="shared" si="32"/>
        <v>51105</v>
      </c>
      <c r="L246" s="8"/>
    </row>
    <row r="247" spans="1:12" x14ac:dyDescent="0.35">
      <c r="A247">
        <v>229</v>
      </c>
      <c r="B247" s="13">
        <f t="shared" si="33"/>
        <v>44196</v>
      </c>
      <c r="C247" s="13">
        <f t="shared" si="34"/>
        <v>51166</v>
      </c>
      <c r="D247" s="35">
        <f t="shared" si="35"/>
        <v>1229.8497276987091</v>
      </c>
      <c r="E247" s="36">
        <f t="shared" si="36"/>
        <v>210.8103677955994</v>
      </c>
      <c r="F247" s="12">
        <f t="shared" si="37"/>
        <v>1019.0393599031097</v>
      </c>
      <c r="G247" s="11">
        <f t="shared" si="38"/>
        <v>200</v>
      </c>
      <c r="H247" s="10">
        <f t="shared" si="39"/>
        <v>58303.888017677891</v>
      </c>
      <c r="I247" s="9">
        <f t="shared" si="30"/>
        <v>1</v>
      </c>
      <c r="J247" s="8">
        <f t="shared" si="31"/>
        <v>2040</v>
      </c>
      <c r="K247" s="1">
        <f t="shared" si="32"/>
        <v>51136</v>
      </c>
      <c r="L247" s="8"/>
    </row>
    <row r="248" spans="1:12" x14ac:dyDescent="0.35">
      <c r="A248">
        <v>230</v>
      </c>
      <c r="B248" s="13">
        <f t="shared" si="33"/>
        <v>44196</v>
      </c>
      <c r="C248" s="13">
        <f t="shared" si="34"/>
        <v>51195</v>
      </c>
      <c r="D248" s="35">
        <f t="shared" si="35"/>
        <v>1229.8497276987091</v>
      </c>
      <c r="E248" s="36">
        <f t="shared" si="36"/>
        <v>206.4929367292759</v>
      </c>
      <c r="F248" s="12">
        <f t="shared" si="37"/>
        <v>1023.3567909694332</v>
      </c>
      <c r="G248" s="11">
        <f t="shared" si="38"/>
        <v>200</v>
      </c>
      <c r="H248" s="10">
        <f t="shared" si="39"/>
        <v>57080.531226708459</v>
      </c>
      <c r="I248" s="9">
        <f t="shared" si="30"/>
        <v>2</v>
      </c>
      <c r="J248" s="8">
        <f t="shared" si="31"/>
        <v>2040</v>
      </c>
      <c r="K248" s="1">
        <f t="shared" si="32"/>
        <v>51167</v>
      </c>
      <c r="L248" s="8"/>
    </row>
    <row r="249" spans="1:12" x14ac:dyDescent="0.35">
      <c r="A249">
        <v>231</v>
      </c>
      <c r="B249" s="13">
        <f t="shared" si="33"/>
        <v>44196</v>
      </c>
      <c r="C249" s="13">
        <f t="shared" si="34"/>
        <v>51226</v>
      </c>
      <c r="D249" s="35">
        <f t="shared" si="35"/>
        <v>1229.8497276987091</v>
      </c>
      <c r="E249" s="36">
        <f t="shared" si="36"/>
        <v>202.16021476125914</v>
      </c>
      <c r="F249" s="12">
        <f t="shared" si="37"/>
        <v>1027.68951293745</v>
      </c>
      <c r="G249" s="11">
        <f t="shared" si="38"/>
        <v>200</v>
      </c>
      <c r="H249" s="10">
        <f t="shared" si="39"/>
        <v>55852.841713771006</v>
      </c>
      <c r="I249" s="9">
        <f t="shared" si="30"/>
        <v>3</v>
      </c>
      <c r="J249" s="8">
        <f t="shared" si="31"/>
        <v>2040</v>
      </c>
      <c r="K249" s="1">
        <f t="shared" si="32"/>
        <v>51196</v>
      </c>
      <c r="L249" s="8"/>
    </row>
    <row r="250" spans="1:12" x14ac:dyDescent="0.35">
      <c r="A250">
        <v>232</v>
      </c>
      <c r="B250" s="13">
        <f t="shared" si="33"/>
        <v>44196</v>
      </c>
      <c r="C250" s="13">
        <f t="shared" si="34"/>
        <v>51256</v>
      </c>
      <c r="D250" s="35">
        <f t="shared" si="35"/>
        <v>1229.8497276987091</v>
      </c>
      <c r="E250" s="36">
        <f t="shared" si="36"/>
        <v>197.81214773627232</v>
      </c>
      <c r="F250" s="12">
        <f t="shared" si="37"/>
        <v>1032.0375799624367</v>
      </c>
      <c r="G250" s="11">
        <f t="shared" si="38"/>
        <v>200</v>
      </c>
      <c r="H250" s="10">
        <f t="shared" si="39"/>
        <v>54620.804133808568</v>
      </c>
      <c r="I250" s="9">
        <f t="shared" si="30"/>
        <v>4</v>
      </c>
      <c r="J250" s="8">
        <f t="shared" si="31"/>
        <v>2040</v>
      </c>
      <c r="K250" s="1">
        <f t="shared" si="32"/>
        <v>51227</v>
      </c>
      <c r="L250" s="8"/>
    </row>
    <row r="251" spans="1:12" x14ac:dyDescent="0.35">
      <c r="A251">
        <v>233</v>
      </c>
      <c r="B251" s="13">
        <f t="shared" si="33"/>
        <v>44196</v>
      </c>
      <c r="C251" s="13">
        <f t="shared" si="34"/>
        <v>51287</v>
      </c>
      <c r="D251" s="35">
        <f t="shared" si="35"/>
        <v>1229.8497276987091</v>
      </c>
      <c r="E251" s="36">
        <f t="shared" si="36"/>
        <v>193.44868130723867</v>
      </c>
      <c r="F251" s="12">
        <f t="shared" si="37"/>
        <v>1036.4010463914703</v>
      </c>
      <c r="G251" s="11">
        <f t="shared" si="38"/>
        <v>200</v>
      </c>
      <c r="H251" s="10">
        <f t="shared" si="39"/>
        <v>53384.4030874171</v>
      </c>
      <c r="I251" s="9">
        <f t="shared" si="30"/>
        <v>5</v>
      </c>
      <c r="J251" s="8">
        <f t="shared" si="31"/>
        <v>2040</v>
      </c>
      <c r="K251" s="1">
        <f t="shared" si="32"/>
        <v>51257</v>
      </c>
      <c r="L251" s="8"/>
    </row>
    <row r="252" spans="1:12" x14ac:dyDescent="0.35">
      <c r="A252">
        <v>234</v>
      </c>
      <c r="B252" s="13">
        <f t="shared" si="33"/>
        <v>44196</v>
      </c>
      <c r="C252" s="13">
        <f t="shared" si="34"/>
        <v>51317</v>
      </c>
      <c r="D252" s="35">
        <f t="shared" si="35"/>
        <v>1229.8497276987091</v>
      </c>
      <c r="E252" s="36">
        <f t="shared" si="36"/>
        <v>189.06976093460227</v>
      </c>
      <c r="F252" s="12">
        <f t="shared" si="37"/>
        <v>1040.7799667641068</v>
      </c>
      <c r="G252" s="11">
        <f t="shared" si="38"/>
        <v>200</v>
      </c>
      <c r="H252" s="10">
        <f t="shared" si="39"/>
        <v>52143.623120652992</v>
      </c>
      <c r="I252" s="9">
        <f t="shared" si="30"/>
        <v>6</v>
      </c>
      <c r="J252" s="8">
        <f t="shared" si="31"/>
        <v>2040</v>
      </c>
      <c r="K252" s="1">
        <f t="shared" si="32"/>
        <v>51288</v>
      </c>
      <c r="L252" s="8"/>
    </row>
    <row r="253" spans="1:12" x14ac:dyDescent="0.35">
      <c r="A253">
        <v>235</v>
      </c>
      <c r="B253" s="13">
        <f t="shared" si="33"/>
        <v>44196</v>
      </c>
      <c r="C253" s="13">
        <f t="shared" si="34"/>
        <v>51348</v>
      </c>
      <c r="D253" s="35">
        <f t="shared" si="35"/>
        <v>1229.8497276987091</v>
      </c>
      <c r="E253" s="36">
        <f t="shared" si="36"/>
        <v>184.67533188564605</v>
      </c>
      <c r="F253" s="12">
        <f t="shared" si="37"/>
        <v>1045.174395813063</v>
      </c>
      <c r="G253" s="11">
        <f t="shared" si="38"/>
        <v>200</v>
      </c>
      <c r="H253" s="10">
        <f t="shared" si="39"/>
        <v>50898.448724839931</v>
      </c>
      <c r="I253" s="9">
        <f t="shared" si="30"/>
        <v>7</v>
      </c>
      <c r="J253" s="8">
        <f t="shared" si="31"/>
        <v>2040</v>
      </c>
      <c r="K253" s="1">
        <f t="shared" si="32"/>
        <v>51318</v>
      </c>
      <c r="L253" s="8"/>
    </row>
    <row r="254" spans="1:12" x14ac:dyDescent="0.35">
      <c r="A254">
        <v>236</v>
      </c>
      <c r="B254" s="13">
        <f t="shared" si="33"/>
        <v>44196</v>
      </c>
      <c r="C254" s="13">
        <f t="shared" si="34"/>
        <v>51379</v>
      </c>
      <c r="D254" s="35">
        <f t="shared" si="35"/>
        <v>1229.8497276987091</v>
      </c>
      <c r="E254" s="36">
        <f t="shared" si="36"/>
        <v>180.26533923380808</v>
      </c>
      <c r="F254" s="12">
        <f t="shared" si="37"/>
        <v>1049.5843884649009</v>
      </c>
      <c r="G254" s="11">
        <f t="shared" si="38"/>
        <v>200</v>
      </c>
      <c r="H254" s="10">
        <f t="shared" si="39"/>
        <v>49648.864336375031</v>
      </c>
      <c r="I254" s="9">
        <f t="shared" si="30"/>
        <v>8</v>
      </c>
      <c r="J254" s="8">
        <f t="shared" si="31"/>
        <v>2040</v>
      </c>
      <c r="K254" s="1">
        <f t="shared" si="32"/>
        <v>51349</v>
      </c>
      <c r="L254" s="8"/>
    </row>
    <row r="255" spans="1:12" x14ac:dyDescent="0.35">
      <c r="A255">
        <v>237</v>
      </c>
      <c r="B255" s="13">
        <f t="shared" si="33"/>
        <v>44196</v>
      </c>
      <c r="C255" s="13">
        <f t="shared" si="34"/>
        <v>51409</v>
      </c>
      <c r="D255" s="35">
        <f t="shared" si="35"/>
        <v>1229.8497276987091</v>
      </c>
      <c r="E255" s="36">
        <f t="shared" si="36"/>
        <v>175.83972785799492</v>
      </c>
      <c r="F255" s="12">
        <f t="shared" si="37"/>
        <v>1054.0099998407143</v>
      </c>
      <c r="G255" s="11">
        <f t="shared" si="38"/>
        <v>200</v>
      </c>
      <c r="H255" s="10">
        <f t="shared" si="39"/>
        <v>48394.854336534314</v>
      </c>
      <c r="I255" s="9">
        <f t="shared" si="30"/>
        <v>9</v>
      </c>
      <c r="J255" s="8">
        <f t="shared" si="31"/>
        <v>2040</v>
      </c>
      <c r="K255" s="1">
        <f t="shared" si="32"/>
        <v>51380</v>
      </c>
      <c r="L255" s="8"/>
    </row>
    <row r="256" spans="1:12" x14ac:dyDescent="0.35">
      <c r="A256">
        <v>238</v>
      </c>
      <c r="B256" s="13">
        <f t="shared" si="33"/>
        <v>44196</v>
      </c>
      <c r="C256" s="13">
        <f t="shared" si="34"/>
        <v>51440</v>
      </c>
      <c r="D256" s="35">
        <f t="shared" si="35"/>
        <v>1229.8497276987091</v>
      </c>
      <c r="E256" s="36">
        <f t="shared" si="36"/>
        <v>171.39844244189237</v>
      </c>
      <c r="F256" s="12">
        <f t="shared" si="37"/>
        <v>1058.4512852568168</v>
      </c>
      <c r="G256" s="11">
        <f t="shared" si="38"/>
        <v>200</v>
      </c>
      <c r="H256" s="10">
        <f t="shared" si="39"/>
        <v>47136.403051277499</v>
      </c>
      <c r="I256" s="9">
        <f t="shared" si="30"/>
        <v>10</v>
      </c>
      <c r="J256" s="8">
        <f t="shared" si="31"/>
        <v>2040</v>
      </c>
      <c r="K256" s="1">
        <f t="shared" si="32"/>
        <v>51410</v>
      </c>
      <c r="L256" s="8"/>
    </row>
    <row r="257" spans="1:12" x14ac:dyDescent="0.35">
      <c r="A257">
        <v>239</v>
      </c>
      <c r="B257" s="13">
        <f t="shared" si="33"/>
        <v>44196</v>
      </c>
      <c r="C257" s="13">
        <f t="shared" si="34"/>
        <v>51470</v>
      </c>
      <c r="D257" s="35">
        <f t="shared" si="35"/>
        <v>1229.8497276987091</v>
      </c>
      <c r="E257" s="36">
        <f t="shared" si="36"/>
        <v>166.9414274732745</v>
      </c>
      <c r="F257" s="12">
        <f t="shared" si="37"/>
        <v>1062.9083002254347</v>
      </c>
      <c r="G257" s="11">
        <f t="shared" si="38"/>
        <v>200</v>
      </c>
      <c r="H257" s="10">
        <f t="shared" si="39"/>
        <v>45873.494751052065</v>
      </c>
      <c r="I257" s="9">
        <f t="shared" si="30"/>
        <v>11</v>
      </c>
      <c r="J257" s="8">
        <f t="shared" si="31"/>
        <v>2040</v>
      </c>
      <c r="K257" s="1">
        <f t="shared" si="32"/>
        <v>51441</v>
      </c>
      <c r="L257" s="8"/>
    </row>
    <row r="258" spans="1:12" x14ac:dyDescent="0.35">
      <c r="A258">
        <v>240</v>
      </c>
      <c r="B258" s="13">
        <f t="shared" si="33"/>
        <v>44196</v>
      </c>
      <c r="C258" s="13">
        <f t="shared" si="34"/>
        <v>51501</v>
      </c>
      <c r="D258" s="35">
        <f t="shared" si="35"/>
        <v>1229.8497276987091</v>
      </c>
      <c r="E258" s="36">
        <f t="shared" si="36"/>
        <v>162.46862724330941</v>
      </c>
      <c r="F258" s="12">
        <f t="shared" si="37"/>
        <v>1067.3811004553997</v>
      </c>
      <c r="G258" s="11">
        <f t="shared" si="38"/>
        <v>200</v>
      </c>
      <c r="H258" s="10">
        <f t="shared" si="39"/>
        <v>44606.113650596664</v>
      </c>
      <c r="I258" s="9">
        <f t="shared" si="30"/>
        <v>12</v>
      </c>
      <c r="J258" s="8">
        <f t="shared" si="31"/>
        <v>2040</v>
      </c>
      <c r="K258" s="1">
        <f t="shared" si="32"/>
        <v>51471</v>
      </c>
      <c r="L258" s="8"/>
    </row>
    <row r="259" spans="1:12" x14ac:dyDescent="0.35">
      <c r="A259">
        <v>241</v>
      </c>
      <c r="B259" s="13">
        <f t="shared" si="33"/>
        <v>44196</v>
      </c>
      <c r="C259" s="13">
        <f t="shared" si="34"/>
        <v>51532</v>
      </c>
      <c r="D259" s="35">
        <f t="shared" si="35"/>
        <v>1229.8497276987091</v>
      </c>
      <c r="E259" s="36">
        <f t="shared" si="36"/>
        <v>157.97998584586318</v>
      </c>
      <c r="F259" s="12">
        <f t="shared" si="37"/>
        <v>1071.8697418528459</v>
      </c>
      <c r="G259" s="11">
        <f t="shared" si="38"/>
        <v>200</v>
      </c>
      <c r="H259" s="10">
        <f t="shared" si="39"/>
        <v>43334.243908743818</v>
      </c>
      <c r="I259" s="9">
        <f t="shared" si="30"/>
        <v>1</v>
      </c>
      <c r="J259" s="8">
        <f t="shared" si="31"/>
        <v>2041</v>
      </c>
      <c r="K259" s="1">
        <f t="shared" si="32"/>
        <v>51502</v>
      </c>
      <c r="L259" s="8"/>
    </row>
    <row r="260" spans="1:12" x14ac:dyDescent="0.35">
      <c r="A260">
        <v>242</v>
      </c>
      <c r="B260" s="13">
        <f t="shared" si="33"/>
        <v>44196</v>
      </c>
      <c r="C260" s="13">
        <f t="shared" si="34"/>
        <v>51560</v>
      </c>
      <c r="D260" s="35">
        <f t="shared" si="35"/>
        <v>1229.8497276987091</v>
      </c>
      <c r="E260" s="36">
        <f t="shared" si="36"/>
        <v>153.47544717680103</v>
      </c>
      <c r="F260" s="12">
        <f t="shared" si="37"/>
        <v>1076.3742805219081</v>
      </c>
      <c r="G260" s="11">
        <f t="shared" si="38"/>
        <v>200</v>
      </c>
      <c r="H260" s="10">
        <f t="shared" si="39"/>
        <v>42057.86962822191</v>
      </c>
      <c r="I260" s="9">
        <f t="shared" si="30"/>
        <v>2</v>
      </c>
      <c r="J260" s="8">
        <f t="shared" si="31"/>
        <v>2041</v>
      </c>
      <c r="K260" s="1">
        <f t="shared" si="32"/>
        <v>51533</v>
      </c>
      <c r="L260" s="8"/>
    </row>
    <row r="261" spans="1:12" x14ac:dyDescent="0.35">
      <c r="A261">
        <v>243</v>
      </c>
      <c r="B261" s="13">
        <f t="shared" si="33"/>
        <v>44196</v>
      </c>
      <c r="C261" s="13">
        <f t="shared" si="34"/>
        <v>51591</v>
      </c>
      <c r="D261" s="35">
        <f t="shared" si="35"/>
        <v>1229.8497276987091</v>
      </c>
      <c r="E261" s="36">
        <f t="shared" si="36"/>
        <v>148.95495493328593</v>
      </c>
      <c r="F261" s="12">
        <f t="shared" si="37"/>
        <v>1080.8947727654231</v>
      </c>
      <c r="G261" s="11">
        <f t="shared" si="38"/>
        <v>200</v>
      </c>
      <c r="H261" s="10">
        <f t="shared" si="39"/>
        <v>40776.974855456487</v>
      </c>
      <c r="I261" s="9">
        <f t="shared" si="30"/>
        <v>3</v>
      </c>
      <c r="J261" s="8">
        <f t="shared" si="31"/>
        <v>2041</v>
      </c>
      <c r="K261" s="1">
        <f t="shared" si="32"/>
        <v>51561</v>
      </c>
      <c r="L261" s="8"/>
    </row>
    <row r="262" spans="1:12" x14ac:dyDescent="0.35">
      <c r="A262">
        <v>244</v>
      </c>
      <c r="B262" s="13">
        <f t="shared" si="33"/>
        <v>44196</v>
      </c>
      <c r="C262" s="13">
        <f t="shared" si="34"/>
        <v>51621</v>
      </c>
      <c r="D262" s="35">
        <f t="shared" si="35"/>
        <v>1229.8497276987091</v>
      </c>
      <c r="E262" s="36">
        <f t="shared" si="36"/>
        <v>144.41845261307506</v>
      </c>
      <c r="F262" s="12">
        <f t="shared" si="37"/>
        <v>1085.4312750856341</v>
      </c>
      <c r="G262" s="11">
        <f t="shared" si="38"/>
        <v>200</v>
      </c>
      <c r="H262" s="10">
        <f t="shared" si="39"/>
        <v>39491.543580370853</v>
      </c>
      <c r="I262" s="9">
        <f t="shared" si="30"/>
        <v>4</v>
      </c>
      <c r="J262" s="8">
        <f t="shared" si="31"/>
        <v>2041</v>
      </c>
      <c r="K262" s="1">
        <f t="shared" si="32"/>
        <v>51592</v>
      </c>
      <c r="L262" s="8"/>
    </row>
    <row r="263" spans="1:12" x14ac:dyDescent="0.35">
      <c r="A263">
        <v>245</v>
      </c>
      <c r="B263" s="13">
        <f t="shared" si="33"/>
        <v>44196</v>
      </c>
      <c r="C263" s="13">
        <f t="shared" si="34"/>
        <v>51652</v>
      </c>
      <c r="D263" s="35">
        <f t="shared" si="35"/>
        <v>1229.8497276987091</v>
      </c>
      <c r="E263" s="36">
        <f t="shared" si="36"/>
        <v>139.86588351381346</v>
      </c>
      <c r="F263" s="12">
        <f t="shared" si="37"/>
        <v>1089.9838441848956</v>
      </c>
      <c r="G263" s="11">
        <f t="shared" si="38"/>
        <v>200</v>
      </c>
      <c r="H263" s="10">
        <f t="shared" si="39"/>
        <v>38201.559736185955</v>
      </c>
      <c r="I263" s="9">
        <f t="shared" si="30"/>
        <v>5</v>
      </c>
      <c r="J263" s="8">
        <f t="shared" si="31"/>
        <v>2041</v>
      </c>
      <c r="K263" s="1">
        <f t="shared" si="32"/>
        <v>51622</v>
      </c>
      <c r="L263" s="8"/>
    </row>
    <row r="264" spans="1:12" x14ac:dyDescent="0.35">
      <c r="A264">
        <v>246</v>
      </c>
      <c r="B264" s="13">
        <f t="shared" si="33"/>
        <v>44196</v>
      </c>
      <c r="C264" s="13">
        <f t="shared" si="34"/>
        <v>51682</v>
      </c>
      <c r="D264" s="35">
        <f t="shared" si="35"/>
        <v>1229.8497276987091</v>
      </c>
      <c r="E264" s="36">
        <f t="shared" si="36"/>
        <v>135.29719073232528</v>
      </c>
      <c r="F264" s="12">
        <f t="shared" si="37"/>
        <v>1094.5525369663837</v>
      </c>
      <c r="G264" s="11">
        <f t="shared" si="38"/>
        <v>200</v>
      </c>
      <c r="H264" s="10">
        <f t="shared" si="39"/>
        <v>36907.007199219574</v>
      </c>
      <c r="I264" s="9">
        <f t="shared" si="30"/>
        <v>6</v>
      </c>
      <c r="J264" s="8">
        <f t="shared" si="31"/>
        <v>2041</v>
      </c>
      <c r="K264" s="1">
        <f t="shared" si="32"/>
        <v>51653</v>
      </c>
      <c r="L264" s="8"/>
    </row>
    <row r="265" spans="1:12" x14ac:dyDescent="0.35">
      <c r="A265">
        <v>247</v>
      </c>
      <c r="B265" s="13">
        <f t="shared" si="33"/>
        <v>44196</v>
      </c>
      <c r="C265" s="13">
        <f t="shared" si="34"/>
        <v>51713</v>
      </c>
      <c r="D265" s="35">
        <f t="shared" si="35"/>
        <v>1229.8497276987091</v>
      </c>
      <c r="E265" s="36">
        <f t="shared" si="36"/>
        <v>130.71231716390267</v>
      </c>
      <c r="F265" s="12">
        <f t="shared" si="37"/>
        <v>1099.1374105348063</v>
      </c>
      <c r="G265" s="11">
        <f t="shared" si="38"/>
        <v>200</v>
      </c>
      <c r="H265" s="10">
        <f t="shared" si="39"/>
        <v>35607.869788684766</v>
      </c>
      <c r="I265" s="9">
        <f t="shared" si="30"/>
        <v>7</v>
      </c>
      <c r="J265" s="8">
        <f t="shared" si="31"/>
        <v>2041</v>
      </c>
      <c r="K265" s="1">
        <f t="shared" si="32"/>
        <v>51683</v>
      </c>
      <c r="L265" s="8"/>
    </row>
    <row r="266" spans="1:12" x14ac:dyDescent="0.35">
      <c r="A266">
        <v>248</v>
      </c>
      <c r="B266" s="13">
        <f t="shared" si="33"/>
        <v>44196</v>
      </c>
      <c r="C266" s="13">
        <f t="shared" si="34"/>
        <v>51744</v>
      </c>
      <c r="D266" s="35">
        <f t="shared" si="35"/>
        <v>1229.8497276987091</v>
      </c>
      <c r="E266" s="36">
        <f t="shared" si="36"/>
        <v>126.11120550159188</v>
      </c>
      <c r="F266" s="12">
        <f t="shared" si="37"/>
        <v>1103.7385221971172</v>
      </c>
      <c r="G266" s="11">
        <f t="shared" si="38"/>
        <v>200</v>
      </c>
      <c r="H266" s="10">
        <f t="shared" si="39"/>
        <v>34304.131266487646</v>
      </c>
      <c r="I266" s="9">
        <f t="shared" si="30"/>
        <v>8</v>
      </c>
      <c r="J266" s="8">
        <f t="shared" si="31"/>
        <v>2041</v>
      </c>
      <c r="K266" s="1">
        <f t="shared" si="32"/>
        <v>51714</v>
      </c>
      <c r="L266" s="8"/>
    </row>
    <row r="267" spans="1:12" x14ac:dyDescent="0.35">
      <c r="A267">
        <v>249</v>
      </c>
      <c r="B267" s="13">
        <f t="shared" si="33"/>
        <v>44196</v>
      </c>
      <c r="C267" s="13">
        <f t="shared" si="34"/>
        <v>51774</v>
      </c>
      <c r="D267" s="35">
        <f t="shared" si="35"/>
        <v>1229.8497276987091</v>
      </c>
      <c r="E267" s="36">
        <f t="shared" si="36"/>
        <v>121.49379823547709</v>
      </c>
      <c r="F267" s="12">
        <f t="shared" si="37"/>
        <v>1108.3559294632321</v>
      </c>
      <c r="G267" s="11">
        <f t="shared" si="38"/>
        <v>200</v>
      </c>
      <c r="H267" s="10">
        <f t="shared" si="39"/>
        <v>32995.775337024417</v>
      </c>
      <c r="I267" s="9">
        <f t="shared" si="30"/>
        <v>9</v>
      </c>
      <c r="J267" s="8">
        <f t="shared" si="31"/>
        <v>2041</v>
      </c>
      <c r="K267" s="1">
        <f t="shared" si="32"/>
        <v>51745</v>
      </c>
      <c r="L267" s="8"/>
    </row>
    <row r="268" spans="1:12" x14ac:dyDescent="0.35">
      <c r="A268">
        <v>250</v>
      </c>
      <c r="B268" s="13">
        <f t="shared" si="33"/>
        <v>44196</v>
      </c>
      <c r="C268" s="13">
        <f t="shared" si="34"/>
        <v>51805</v>
      </c>
      <c r="D268" s="35">
        <f t="shared" si="35"/>
        <v>1229.8497276987091</v>
      </c>
      <c r="E268" s="36">
        <f t="shared" si="36"/>
        <v>116.86003765196148</v>
      </c>
      <c r="F268" s="12">
        <f t="shared" si="37"/>
        <v>1112.9896900467477</v>
      </c>
      <c r="G268" s="11">
        <f t="shared" si="38"/>
        <v>200</v>
      </c>
      <c r="H268" s="10">
        <f t="shared" si="39"/>
        <v>31682.785646977671</v>
      </c>
      <c r="I268" s="9">
        <f t="shared" si="30"/>
        <v>10</v>
      </c>
      <c r="J268" s="8">
        <f t="shared" si="31"/>
        <v>2041</v>
      </c>
      <c r="K268" s="1">
        <f t="shared" si="32"/>
        <v>51775</v>
      </c>
      <c r="L268" s="8"/>
    </row>
    <row r="269" spans="1:12" x14ac:dyDescent="0.35">
      <c r="A269">
        <v>251</v>
      </c>
      <c r="B269" s="13">
        <f t="shared" si="33"/>
        <v>44196</v>
      </c>
      <c r="C269" s="13">
        <f t="shared" si="34"/>
        <v>51835</v>
      </c>
      <c r="D269" s="35">
        <f t="shared" si="35"/>
        <v>1229.8497276987091</v>
      </c>
      <c r="E269" s="36">
        <f t="shared" si="36"/>
        <v>112.20986583304592</v>
      </c>
      <c r="F269" s="12">
        <f t="shared" si="37"/>
        <v>1117.6398618656631</v>
      </c>
      <c r="G269" s="11">
        <f t="shared" si="38"/>
        <v>200</v>
      </c>
      <c r="H269" s="10">
        <f t="shared" si="39"/>
        <v>30365.145785112007</v>
      </c>
      <c r="I269" s="9">
        <f t="shared" si="30"/>
        <v>11</v>
      </c>
      <c r="J269" s="8">
        <f t="shared" si="31"/>
        <v>2041</v>
      </c>
      <c r="K269" s="1">
        <f t="shared" si="32"/>
        <v>51806</v>
      </c>
      <c r="L269" s="8"/>
    </row>
    <row r="270" spans="1:12" x14ac:dyDescent="0.35">
      <c r="A270">
        <v>252</v>
      </c>
      <c r="B270" s="13">
        <f t="shared" si="33"/>
        <v>44196</v>
      </c>
      <c r="C270" s="13">
        <f t="shared" si="34"/>
        <v>51866</v>
      </c>
      <c r="D270" s="35">
        <f t="shared" si="35"/>
        <v>1229.8497276987091</v>
      </c>
      <c r="E270" s="36">
        <f t="shared" si="36"/>
        <v>107.54322465560504</v>
      </c>
      <c r="F270" s="12">
        <f t="shared" si="37"/>
        <v>1122.3065030431042</v>
      </c>
      <c r="G270" s="11">
        <f t="shared" si="38"/>
        <v>200</v>
      </c>
      <c r="H270" s="10">
        <f t="shared" si="39"/>
        <v>29042.839282068904</v>
      </c>
      <c r="I270" s="9">
        <f t="shared" si="30"/>
        <v>12</v>
      </c>
      <c r="J270" s="8">
        <f t="shared" si="31"/>
        <v>2041</v>
      </c>
      <c r="K270" s="1">
        <f t="shared" si="32"/>
        <v>51836</v>
      </c>
      <c r="L270" s="8"/>
    </row>
    <row r="271" spans="1:12" x14ac:dyDescent="0.35">
      <c r="A271">
        <v>253</v>
      </c>
      <c r="B271" s="13">
        <f t="shared" si="33"/>
        <v>44196</v>
      </c>
      <c r="C271" s="13">
        <f t="shared" si="34"/>
        <v>51897</v>
      </c>
      <c r="D271" s="35">
        <f t="shared" si="35"/>
        <v>1229.8497276987091</v>
      </c>
      <c r="E271" s="36">
        <f t="shared" si="36"/>
        <v>102.86005579066072</v>
      </c>
      <c r="F271" s="12">
        <f t="shared" si="37"/>
        <v>1126.9896719080484</v>
      </c>
      <c r="G271" s="11">
        <f t="shared" si="38"/>
        <v>200</v>
      </c>
      <c r="H271" s="10">
        <f t="shared" si="39"/>
        <v>27715.849610160854</v>
      </c>
      <c r="I271" s="9">
        <f t="shared" si="30"/>
        <v>1</v>
      </c>
      <c r="J271" s="8">
        <f t="shared" si="31"/>
        <v>2042</v>
      </c>
      <c r="K271" s="1">
        <f t="shared" si="32"/>
        <v>51867</v>
      </c>
      <c r="L271" s="8"/>
    </row>
    <row r="272" spans="1:12" x14ac:dyDescent="0.35">
      <c r="A272">
        <v>254</v>
      </c>
      <c r="B272" s="13">
        <f t="shared" si="33"/>
        <v>44196</v>
      </c>
      <c r="C272" s="13">
        <f t="shared" si="34"/>
        <v>51925</v>
      </c>
      <c r="D272" s="35">
        <f t="shared" si="35"/>
        <v>1229.8497276987091</v>
      </c>
      <c r="E272" s="36">
        <f t="shared" si="36"/>
        <v>98.160300702653032</v>
      </c>
      <c r="F272" s="12">
        <f t="shared" si="37"/>
        <v>1131.689426996056</v>
      </c>
      <c r="G272" s="11">
        <f t="shared" si="38"/>
        <v>200</v>
      </c>
      <c r="H272" s="10">
        <f t="shared" si="39"/>
        <v>26384.160183164797</v>
      </c>
      <c r="I272" s="9">
        <f t="shared" si="30"/>
        <v>2</v>
      </c>
      <c r="J272" s="8">
        <f t="shared" si="31"/>
        <v>2042</v>
      </c>
      <c r="K272" s="1">
        <f t="shared" si="32"/>
        <v>51898</v>
      </c>
      <c r="L272" s="8"/>
    </row>
    <row r="273" spans="1:12" x14ac:dyDescent="0.35">
      <c r="A273">
        <v>255</v>
      </c>
      <c r="B273" s="13">
        <f t="shared" si="33"/>
        <v>44196</v>
      </c>
      <c r="C273" s="13">
        <f t="shared" si="34"/>
        <v>51956</v>
      </c>
      <c r="D273" s="35">
        <f t="shared" si="35"/>
        <v>1229.8497276987091</v>
      </c>
      <c r="E273" s="36">
        <f t="shared" si="36"/>
        <v>93.443900648708663</v>
      </c>
      <c r="F273" s="12">
        <f t="shared" si="37"/>
        <v>1136.4058270500004</v>
      </c>
      <c r="G273" s="11">
        <f t="shared" si="38"/>
        <v>200</v>
      </c>
      <c r="H273" s="10">
        <f t="shared" si="39"/>
        <v>25047.754356114798</v>
      </c>
      <c r="I273" s="9">
        <f t="shared" si="30"/>
        <v>3</v>
      </c>
      <c r="J273" s="8">
        <f t="shared" si="31"/>
        <v>2042</v>
      </c>
      <c r="K273" s="1">
        <f t="shared" si="32"/>
        <v>51926</v>
      </c>
      <c r="L273" s="8"/>
    </row>
    <row r="274" spans="1:12" x14ac:dyDescent="0.35">
      <c r="A274">
        <v>256</v>
      </c>
      <c r="B274" s="13">
        <f t="shared" si="33"/>
        <v>44196</v>
      </c>
      <c r="C274" s="13">
        <f t="shared" si="34"/>
        <v>51986</v>
      </c>
      <c r="D274" s="35">
        <f t="shared" si="35"/>
        <v>1229.8497276987091</v>
      </c>
      <c r="E274" s="36">
        <f t="shared" si="36"/>
        <v>88.710796677906572</v>
      </c>
      <c r="F274" s="12">
        <f t="shared" si="37"/>
        <v>1141.1389310208026</v>
      </c>
      <c r="G274" s="11">
        <f t="shared" si="38"/>
        <v>200</v>
      </c>
      <c r="H274" s="10">
        <f t="shared" si="39"/>
        <v>23706.615425093994</v>
      </c>
      <c r="I274" s="9">
        <f t="shared" si="30"/>
        <v>4</v>
      </c>
      <c r="J274" s="8">
        <f t="shared" si="31"/>
        <v>2042</v>
      </c>
      <c r="K274" s="1">
        <f t="shared" si="32"/>
        <v>51957</v>
      </c>
      <c r="L274" s="8"/>
    </row>
    <row r="275" spans="1:12" x14ac:dyDescent="0.35">
      <c r="A275">
        <v>257</v>
      </c>
      <c r="B275" s="13">
        <f t="shared" si="33"/>
        <v>44196</v>
      </c>
      <c r="C275" s="13">
        <f t="shared" si="34"/>
        <v>52017</v>
      </c>
      <c r="D275" s="35">
        <f t="shared" si="35"/>
        <v>1229.8497276987091</v>
      </c>
      <c r="E275" s="36">
        <f t="shared" si="36"/>
        <v>83.96092963054123</v>
      </c>
      <c r="F275" s="12">
        <f t="shared" si="37"/>
        <v>1145.8887980681679</v>
      </c>
      <c r="G275" s="11">
        <f t="shared" si="38"/>
        <v>200</v>
      </c>
      <c r="H275" s="10">
        <f t="shared" si="39"/>
        <v>22360.726627025826</v>
      </c>
      <c r="I275" s="9">
        <f t="shared" ref="I275:I338" si="40">MONTH(C275)</f>
        <v>5</v>
      </c>
      <c r="J275" s="8">
        <f t="shared" ref="J275:J338" si="41">YEAR(C275)</f>
        <v>2042</v>
      </c>
      <c r="K275" s="1">
        <f t="shared" ref="K275:K338" si="42">DATE(J275,(I275),1)</f>
        <v>51987</v>
      </c>
      <c r="L275" s="8"/>
    </row>
    <row r="276" spans="1:12" x14ac:dyDescent="0.35">
      <c r="A276">
        <v>258</v>
      </c>
      <c r="B276" s="13">
        <f t="shared" ref="B276:B339" si="43">$D$16</f>
        <v>44196</v>
      </c>
      <c r="C276" s="13">
        <f t="shared" ref="C276:C339" si="44">EDATE(B276,A276)</f>
        <v>52047</v>
      </c>
      <c r="D276" s="35">
        <f t="shared" ref="D276:D339" si="45">IF(AND(ISNUMBER(H275), H275 &gt; $D$4), $D$4, IF(AND(ISNUMBER(H275), H275 &gt; 0), H275 + E276, "Paid Off"))</f>
        <v>1229.8497276987091</v>
      </c>
      <c r="E276" s="36">
        <f t="shared" ref="E276:E339" si="46">IFERROR(H275 * $D$2 / 12, "N/A")</f>
        <v>79.194240137383147</v>
      </c>
      <c r="F276" s="12">
        <f t="shared" ref="F276:F339" si="47">IFERROR(D276 - E276, "N/A")</f>
        <v>1150.655487561326</v>
      </c>
      <c r="G276" s="11">
        <f t="shared" ref="G276:G339" si="48">IF(ISNUMBER(H275), IF(H275 - F276 &gt; $D$5, $D$5, IF(H275 - F276 &gt; 0, H275 - F276, 0)), "N/A")</f>
        <v>200</v>
      </c>
      <c r="H276" s="10">
        <f t="shared" ref="H276:H339" si="49">IFERROR(IF(H275 - F276 - G276 &gt; 0, H275 - F276 - G276, "Paid Off"), "Paid Off")</f>
        <v>21010.0711394645</v>
      </c>
      <c r="I276" s="9">
        <f t="shared" si="40"/>
        <v>6</v>
      </c>
      <c r="J276" s="8">
        <f t="shared" si="41"/>
        <v>2042</v>
      </c>
      <c r="K276" s="1">
        <f t="shared" si="42"/>
        <v>52018</v>
      </c>
      <c r="L276" s="8"/>
    </row>
    <row r="277" spans="1:12" x14ac:dyDescent="0.35">
      <c r="A277">
        <v>259</v>
      </c>
      <c r="B277" s="13">
        <f t="shared" si="43"/>
        <v>44196</v>
      </c>
      <c r="C277" s="13">
        <f t="shared" si="44"/>
        <v>52078</v>
      </c>
      <c r="D277" s="35">
        <f t="shared" si="45"/>
        <v>1229.8497276987091</v>
      </c>
      <c r="E277" s="36">
        <f t="shared" si="46"/>
        <v>74.410668618936782</v>
      </c>
      <c r="F277" s="12">
        <f t="shared" si="47"/>
        <v>1155.4390590797723</v>
      </c>
      <c r="G277" s="11">
        <f t="shared" si="48"/>
        <v>200</v>
      </c>
      <c r="H277" s="10">
        <f t="shared" si="49"/>
        <v>19654.632080384727</v>
      </c>
      <c r="I277" s="9">
        <f t="shared" si="40"/>
        <v>7</v>
      </c>
      <c r="J277" s="8">
        <f t="shared" si="41"/>
        <v>2042</v>
      </c>
      <c r="K277" s="1">
        <f t="shared" si="42"/>
        <v>52048</v>
      </c>
      <c r="L277" s="8"/>
    </row>
    <row r="278" spans="1:12" x14ac:dyDescent="0.35">
      <c r="A278">
        <v>260</v>
      </c>
      <c r="B278" s="13">
        <f t="shared" si="43"/>
        <v>44196</v>
      </c>
      <c r="C278" s="13">
        <f t="shared" si="44"/>
        <v>52109</v>
      </c>
      <c r="D278" s="35">
        <f t="shared" si="45"/>
        <v>1229.8497276987091</v>
      </c>
      <c r="E278" s="36">
        <f t="shared" si="46"/>
        <v>69.610155284695921</v>
      </c>
      <c r="F278" s="12">
        <f t="shared" si="47"/>
        <v>1160.2395724140131</v>
      </c>
      <c r="G278" s="11">
        <f t="shared" si="48"/>
        <v>200</v>
      </c>
      <c r="H278" s="10">
        <f t="shared" si="49"/>
        <v>18294.392507970715</v>
      </c>
      <c r="I278" s="9">
        <f t="shared" si="40"/>
        <v>8</v>
      </c>
      <c r="J278" s="8">
        <f t="shared" si="41"/>
        <v>2042</v>
      </c>
      <c r="K278" s="1">
        <f t="shared" si="42"/>
        <v>52079</v>
      </c>
      <c r="L278" s="8"/>
    </row>
    <row r="279" spans="1:12" x14ac:dyDescent="0.35">
      <c r="A279">
        <v>261</v>
      </c>
      <c r="B279" s="13">
        <f t="shared" si="43"/>
        <v>44196</v>
      </c>
      <c r="C279" s="13">
        <f t="shared" si="44"/>
        <v>52139</v>
      </c>
      <c r="D279" s="35">
        <f t="shared" si="45"/>
        <v>1229.8497276987091</v>
      </c>
      <c r="E279" s="36">
        <f t="shared" si="46"/>
        <v>64.792640132396286</v>
      </c>
      <c r="F279" s="12">
        <f t="shared" si="47"/>
        <v>1165.0570875663129</v>
      </c>
      <c r="G279" s="11">
        <f t="shared" si="48"/>
        <v>200</v>
      </c>
      <c r="H279" s="10">
        <f t="shared" si="49"/>
        <v>16929.335420404401</v>
      </c>
      <c r="I279" s="9">
        <f t="shared" si="40"/>
        <v>9</v>
      </c>
      <c r="J279" s="8">
        <f t="shared" si="41"/>
        <v>2042</v>
      </c>
      <c r="K279" s="1">
        <f t="shared" si="42"/>
        <v>52110</v>
      </c>
      <c r="L279" s="8"/>
    </row>
    <row r="280" spans="1:12" x14ac:dyDescent="0.35">
      <c r="A280">
        <v>262</v>
      </c>
      <c r="B280" s="13">
        <f t="shared" si="43"/>
        <v>44196</v>
      </c>
      <c r="C280" s="13">
        <f t="shared" si="44"/>
        <v>52170</v>
      </c>
      <c r="D280" s="35">
        <f t="shared" si="45"/>
        <v>1229.8497276987091</v>
      </c>
      <c r="E280" s="36">
        <f t="shared" si="46"/>
        <v>59.958062947265596</v>
      </c>
      <c r="F280" s="12">
        <f t="shared" si="47"/>
        <v>1169.8916647514436</v>
      </c>
      <c r="G280" s="11">
        <f t="shared" si="48"/>
        <v>200</v>
      </c>
      <c r="H280" s="10">
        <f t="shared" si="49"/>
        <v>15559.443755652957</v>
      </c>
      <c r="I280" s="9">
        <f t="shared" si="40"/>
        <v>10</v>
      </c>
      <c r="J280" s="8">
        <f t="shared" si="41"/>
        <v>2042</v>
      </c>
      <c r="K280" s="1">
        <f t="shared" si="42"/>
        <v>52140</v>
      </c>
      <c r="L280" s="8"/>
    </row>
    <row r="281" spans="1:12" x14ac:dyDescent="0.35">
      <c r="A281">
        <v>263</v>
      </c>
      <c r="B281" s="13">
        <f t="shared" si="43"/>
        <v>44196</v>
      </c>
      <c r="C281" s="13">
        <f t="shared" si="44"/>
        <v>52200</v>
      </c>
      <c r="D281" s="35">
        <f t="shared" si="45"/>
        <v>1229.8497276987091</v>
      </c>
      <c r="E281" s="36">
        <f t="shared" si="46"/>
        <v>55.106363301270896</v>
      </c>
      <c r="F281" s="12">
        <f t="shared" si="47"/>
        <v>1174.7433643974382</v>
      </c>
      <c r="G281" s="11">
        <f t="shared" si="48"/>
        <v>200</v>
      </c>
      <c r="H281" s="10">
        <f t="shared" si="49"/>
        <v>14184.700391255519</v>
      </c>
      <c r="I281" s="9">
        <f t="shared" si="40"/>
        <v>11</v>
      </c>
      <c r="J281" s="8">
        <f t="shared" si="41"/>
        <v>2042</v>
      </c>
      <c r="K281" s="1">
        <f t="shared" si="42"/>
        <v>52171</v>
      </c>
      <c r="L281" s="8"/>
    </row>
    <row r="282" spans="1:12" x14ac:dyDescent="0.35">
      <c r="A282">
        <v>264</v>
      </c>
      <c r="B282" s="13">
        <f t="shared" si="43"/>
        <v>44196</v>
      </c>
      <c r="C282" s="13">
        <f t="shared" si="44"/>
        <v>52231</v>
      </c>
      <c r="D282" s="35">
        <f t="shared" si="45"/>
        <v>1229.8497276987091</v>
      </c>
      <c r="E282" s="36">
        <f t="shared" si="46"/>
        <v>50.237480552363301</v>
      </c>
      <c r="F282" s="12">
        <f t="shared" si="47"/>
        <v>1179.6122471463459</v>
      </c>
      <c r="G282" s="11">
        <f t="shared" si="48"/>
        <v>200</v>
      </c>
      <c r="H282" s="10">
        <f t="shared" si="49"/>
        <v>12805.088144109173</v>
      </c>
      <c r="I282" s="9">
        <f t="shared" si="40"/>
        <v>12</v>
      </c>
      <c r="J282" s="8">
        <f t="shared" si="41"/>
        <v>2042</v>
      </c>
      <c r="K282" s="1">
        <f t="shared" si="42"/>
        <v>52201</v>
      </c>
      <c r="L282" s="8"/>
    </row>
    <row r="283" spans="1:12" x14ac:dyDescent="0.35">
      <c r="A283">
        <v>265</v>
      </c>
      <c r="B283" s="13">
        <f t="shared" si="43"/>
        <v>44196</v>
      </c>
      <c r="C283" s="13">
        <f t="shared" si="44"/>
        <v>52262</v>
      </c>
      <c r="D283" s="35">
        <f t="shared" si="45"/>
        <v>1229.8497276987091</v>
      </c>
      <c r="E283" s="36">
        <f t="shared" si="46"/>
        <v>45.351353843719998</v>
      </c>
      <c r="F283" s="12">
        <f t="shared" si="47"/>
        <v>1184.498373854989</v>
      </c>
      <c r="G283" s="11">
        <f t="shared" si="48"/>
        <v>200</v>
      </c>
      <c r="H283" s="10">
        <f t="shared" si="49"/>
        <v>11420.589770254184</v>
      </c>
      <c r="I283" s="9">
        <f t="shared" si="40"/>
        <v>1</v>
      </c>
      <c r="J283" s="8">
        <f t="shared" si="41"/>
        <v>2043</v>
      </c>
      <c r="K283" s="1">
        <f t="shared" si="42"/>
        <v>52232</v>
      </c>
      <c r="L283" s="8"/>
    </row>
    <row r="284" spans="1:12" x14ac:dyDescent="0.35">
      <c r="A284">
        <v>266</v>
      </c>
      <c r="B284" s="13">
        <f t="shared" si="43"/>
        <v>44196</v>
      </c>
      <c r="C284" s="13">
        <f t="shared" si="44"/>
        <v>52290</v>
      </c>
      <c r="D284" s="35">
        <f t="shared" si="45"/>
        <v>1229.8497276987091</v>
      </c>
      <c r="E284" s="36">
        <f t="shared" si="46"/>
        <v>40.447922102983576</v>
      </c>
      <c r="F284" s="12">
        <f t="shared" si="47"/>
        <v>1189.4018055957256</v>
      </c>
      <c r="G284" s="11">
        <f t="shared" si="48"/>
        <v>200</v>
      </c>
      <c r="H284" s="10">
        <f t="shared" si="49"/>
        <v>10031.187964658458</v>
      </c>
      <c r="I284" s="9">
        <f t="shared" si="40"/>
        <v>2</v>
      </c>
      <c r="J284" s="8">
        <f t="shared" si="41"/>
        <v>2043</v>
      </c>
      <c r="K284" s="1">
        <f t="shared" si="42"/>
        <v>52263</v>
      </c>
      <c r="L284" s="8"/>
    </row>
    <row r="285" spans="1:12" x14ac:dyDescent="0.35">
      <c r="A285">
        <v>267</v>
      </c>
      <c r="B285" s="13">
        <f t="shared" si="43"/>
        <v>44196</v>
      </c>
      <c r="C285" s="13">
        <f t="shared" si="44"/>
        <v>52321</v>
      </c>
      <c r="D285" s="35">
        <f t="shared" si="45"/>
        <v>1229.8497276987091</v>
      </c>
      <c r="E285" s="36">
        <f t="shared" si="46"/>
        <v>35.527124041498709</v>
      </c>
      <c r="F285" s="12">
        <f t="shared" si="47"/>
        <v>1194.3226036572105</v>
      </c>
      <c r="G285" s="11">
        <f t="shared" si="48"/>
        <v>200</v>
      </c>
      <c r="H285" s="10">
        <f t="shared" si="49"/>
        <v>8636.8653610012479</v>
      </c>
      <c r="I285" s="9">
        <f t="shared" si="40"/>
        <v>3</v>
      </c>
      <c r="J285" s="8">
        <f t="shared" si="41"/>
        <v>2043</v>
      </c>
      <c r="K285" s="1">
        <f t="shared" si="42"/>
        <v>52291</v>
      </c>
      <c r="L285" s="8"/>
    </row>
    <row r="286" spans="1:12" x14ac:dyDescent="0.35">
      <c r="A286">
        <v>268</v>
      </c>
      <c r="B286" s="13">
        <f t="shared" si="43"/>
        <v>44196</v>
      </c>
      <c r="C286" s="13">
        <f t="shared" si="44"/>
        <v>52351</v>
      </c>
      <c r="D286" s="35">
        <f t="shared" si="45"/>
        <v>1229.8497276987091</v>
      </c>
      <c r="E286" s="36">
        <f t="shared" si="46"/>
        <v>30.588898153546086</v>
      </c>
      <c r="F286" s="12">
        <f t="shared" si="47"/>
        <v>1199.260829545163</v>
      </c>
      <c r="G286" s="11">
        <f t="shared" si="48"/>
        <v>200</v>
      </c>
      <c r="H286" s="10">
        <f t="shared" si="49"/>
        <v>7237.6045314560852</v>
      </c>
      <c r="I286" s="9">
        <f t="shared" si="40"/>
        <v>4</v>
      </c>
      <c r="J286" s="8">
        <f t="shared" si="41"/>
        <v>2043</v>
      </c>
      <c r="K286" s="1">
        <f t="shared" si="42"/>
        <v>52322</v>
      </c>
      <c r="L286" s="8"/>
    </row>
    <row r="287" spans="1:12" x14ac:dyDescent="0.35">
      <c r="A287">
        <v>269</v>
      </c>
      <c r="B287" s="13">
        <f t="shared" si="43"/>
        <v>44196</v>
      </c>
      <c r="C287" s="13">
        <f t="shared" si="44"/>
        <v>52382</v>
      </c>
      <c r="D287" s="35">
        <f t="shared" si="45"/>
        <v>1229.8497276987091</v>
      </c>
      <c r="E287" s="36">
        <f t="shared" si="46"/>
        <v>25.633182715573639</v>
      </c>
      <c r="F287" s="12">
        <f t="shared" si="47"/>
        <v>1204.2165449831355</v>
      </c>
      <c r="G287" s="11">
        <f t="shared" si="48"/>
        <v>200</v>
      </c>
      <c r="H287" s="10">
        <f t="shared" si="49"/>
        <v>5833.3879864729497</v>
      </c>
      <c r="I287" s="9">
        <f t="shared" si="40"/>
        <v>5</v>
      </c>
      <c r="J287" s="8">
        <f t="shared" si="41"/>
        <v>2043</v>
      </c>
      <c r="K287" s="1">
        <f t="shared" si="42"/>
        <v>52352</v>
      </c>
      <c r="L287" s="8"/>
    </row>
    <row r="288" spans="1:12" x14ac:dyDescent="0.35">
      <c r="A288">
        <v>270</v>
      </c>
      <c r="B288" s="13">
        <f t="shared" si="43"/>
        <v>44196</v>
      </c>
      <c r="C288" s="13">
        <f t="shared" si="44"/>
        <v>52412</v>
      </c>
      <c r="D288" s="35">
        <f t="shared" si="45"/>
        <v>1229.8497276987091</v>
      </c>
      <c r="E288" s="36">
        <f t="shared" si="46"/>
        <v>20.659915785425031</v>
      </c>
      <c r="F288" s="12">
        <f t="shared" si="47"/>
        <v>1209.1898119132841</v>
      </c>
      <c r="G288" s="11">
        <f t="shared" si="48"/>
        <v>200</v>
      </c>
      <c r="H288" s="10">
        <f t="shared" si="49"/>
        <v>4424.1981745596659</v>
      </c>
      <c r="I288" s="9">
        <f t="shared" si="40"/>
        <v>6</v>
      </c>
      <c r="J288" s="8">
        <f t="shared" si="41"/>
        <v>2043</v>
      </c>
      <c r="K288" s="1">
        <f t="shared" si="42"/>
        <v>52383</v>
      </c>
      <c r="L288" s="8"/>
    </row>
    <row r="289" spans="1:12" x14ac:dyDescent="0.35">
      <c r="A289">
        <v>271</v>
      </c>
      <c r="B289" s="13">
        <f t="shared" si="43"/>
        <v>44196</v>
      </c>
      <c r="C289" s="13">
        <f t="shared" si="44"/>
        <v>52443</v>
      </c>
      <c r="D289" s="35">
        <f t="shared" si="45"/>
        <v>1229.8497276987091</v>
      </c>
      <c r="E289" s="36">
        <f t="shared" si="46"/>
        <v>15.669035201565485</v>
      </c>
      <c r="F289" s="12">
        <f t="shared" si="47"/>
        <v>1214.1806924971436</v>
      </c>
      <c r="G289" s="11">
        <f t="shared" si="48"/>
        <v>200</v>
      </c>
      <c r="H289" s="10">
        <f t="shared" si="49"/>
        <v>3010.0174820625225</v>
      </c>
      <c r="I289" s="9">
        <f t="shared" si="40"/>
        <v>7</v>
      </c>
      <c r="J289" s="8">
        <f t="shared" si="41"/>
        <v>2043</v>
      </c>
      <c r="K289" s="1">
        <f t="shared" si="42"/>
        <v>52413</v>
      </c>
      <c r="L289" s="8"/>
    </row>
    <row r="290" spans="1:12" x14ac:dyDescent="0.35">
      <c r="A290">
        <v>272</v>
      </c>
      <c r="B290" s="13">
        <f t="shared" si="43"/>
        <v>44196</v>
      </c>
      <c r="C290" s="13">
        <f t="shared" si="44"/>
        <v>52474</v>
      </c>
      <c r="D290" s="35">
        <f t="shared" si="45"/>
        <v>1229.8497276987091</v>
      </c>
      <c r="E290" s="36">
        <f t="shared" si="46"/>
        <v>10.660478582304767</v>
      </c>
      <c r="F290" s="12">
        <f t="shared" si="47"/>
        <v>1219.1892491164044</v>
      </c>
      <c r="G290" s="11">
        <f t="shared" si="48"/>
        <v>200</v>
      </c>
      <c r="H290" s="10">
        <f t="shared" si="49"/>
        <v>1590.8282329461181</v>
      </c>
      <c r="I290" s="9">
        <f t="shared" si="40"/>
        <v>8</v>
      </c>
      <c r="J290" s="8">
        <f t="shared" si="41"/>
        <v>2043</v>
      </c>
      <c r="K290" s="1">
        <f t="shared" si="42"/>
        <v>52444</v>
      </c>
      <c r="L290" s="8"/>
    </row>
    <row r="291" spans="1:12" x14ac:dyDescent="0.35">
      <c r="A291">
        <v>273</v>
      </c>
      <c r="B291" s="13">
        <f t="shared" si="43"/>
        <v>44196</v>
      </c>
      <c r="C291" s="13">
        <f t="shared" si="44"/>
        <v>52504</v>
      </c>
      <c r="D291" s="35">
        <f t="shared" si="45"/>
        <v>1229.8497276987091</v>
      </c>
      <c r="E291" s="36">
        <f t="shared" si="46"/>
        <v>5.634183325017502</v>
      </c>
      <c r="F291" s="12">
        <f t="shared" si="47"/>
        <v>1224.2155443736915</v>
      </c>
      <c r="G291" s="11">
        <f t="shared" si="48"/>
        <v>200</v>
      </c>
      <c r="H291" s="10">
        <f t="shared" si="49"/>
        <v>166.61268857242658</v>
      </c>
      <c r="I291" s="9">
        <f t="shared" si="40"/>
        <v>9</v>
      </c>
      <c r="J291" s="8">
        <f t="shared" si="41"/>
        <v>2043</v>
      </c>
      <c r="K291" s="1">
        <f t="shared" si="42"/>
        <v>52475</v>
      </c>
      <c r="L291" s="8"/>
    </row>
    <row r="292" spans="1:12" x14ac:dyDescent="0.35">
      <c r="A292">
        <v>274</v>
      </c>
      <c r="B292" s="13">
        <f t="shared" si="43"/>
        <v>44196</v>
      </c>
      <c r="C292" s="13">
        <f t="shared" si="44"/>
        <v>52535</v>
      </c>
      <c r="D292" s="35">
        <f t="shared" si="45"/>
        <v>167.20277517778726</v>
      </c>
      <c r="E292" s="36">
        <f t="shared" si="46"/>
        <v>0.59008660536067747</v>
      </c>
      <c r="F292" s="12">
        <f t="shared" si="47"/>
        <v>166.61268857242658</v>
      </c>
      <c r="G292" s="11">
        <f t="shared" si="48"/>
        <v>0</v>
      </c>
      <c r="H292" s="10" t="str">
        <f t="shared" si="49"/>
        <v>Paid Off</v>
      </c>
      <c r="I292" s="9">
        <f t="shared" si="40"/>
        <v>10</v>
      </c>
      <c r="J292" s="8">
        <f t="shared" si="41"/>
        <v>2043</v>
      </c>
      <c r="K292" s="1">
        <f t="shared" si="42"/>
        <v>52505</v>
      </c>
      <c r="L292" s="8"/>
    </row>
    <row r="293" spans="1:12" x14ac:dyDescent="0.35">
      <c r="A293">
        <v>275</v>
      </c>
      <c r="B293" s="13">
        <f t="shared" si="43"/>
        <v>44196</v>
      </c>
      <c r="C293" s="13">
        <f t="shared" si="44"/>
        <v>52565</v>
      </c>
      <c r="D293" s="35" t="str">
        <f t="shared" si="45"/>
        <v>Paid Off</v>
      </c>
      <c r="E293" s="36" t="str">
        <f t="shared" si="46"/>
        <v>N/A</v>
      </c>
      <c r="F293" s="12" t="str">
        <f t="shared" si="47"/>
        <v>N/A</v>
      </c>
      <c r="G293" s="11" t="str">
        <f t="shared" si="48"/>
        <v>N/A</v>
      </c>
      <c r="H293" s="10" t="str">
        <f t="shared" si="49"/>
        <v>Paid Off</v>
      </c>
      <c r="I293" s="9">
        <f t="shared" si="40"/>
        <v>11</v>
      </c>
      <c r="J293" s="8">
        <f t="shared" si="41"/>
        <v>2043</v>
      </c>
      <c r="K293" s="1">
        <f t="shared" si="42"/>
        <v>52536</v>
      </c>
      <c r="L293" s="8"/>
    </row>
    <row r="294" spans="1:12" x14ac:dyDescent="0.35">
      <c r="A294">
        <v>276</v>
      </c>
      <c r="B294" s="13">
        <f t="shared" si="43"/>
        <v>44196</v>
      </c>
      <c r="C294" s="13">
        <f t="shared" si="44"/>
        <v>52596</v>
      </c>
      <c r="D294" s="35" t="str">
        <f t="shared" si="45"/>
        <v>Paid Off</v>
      </c>
      <c r="E294" s="36" t="str">
        <f t="shared" si="46"/>
        <v>N/A</v>
      </c>
      <c r="F294" s="12" t="str">
        <f t="shared" si="47"/>
        <v>N/A</v>
      </c>
      <c r="G294" s="11" t="str">
        <f t="shared" si="48"/>
        <v>N/A</v>
      </c>
      <c r="H294" s="10" t="str">
        <f t="shared" si="49"/>
        <v>Paid Off</v>
      </c>
      <c r="I294" s="9">
        <f t="shared" si="40"/>
        <v>12</v>
      </c>
      <c r="J294" s="8">
        <f t="shared" si="41"/>
        <v>2043</v>
      </c>
      <c r="K294" s="1">
        <f t="shared" si="42"/>
        <v>52566</v>
      </c>
      <c r="L294" s="8"/>
    </row>
    <row r="295" spans="1:12" x14ac:dyDescent="0.35">
      <c r="A295">
        <v>277</v>
      </c>
      <c r="B295" s="13">
        <f t="shared" si="43"/>
        <v>44196</v>
      </c>
      <c r="C295" s="13">
        <f t="shared" si="44"/>
        <v>52627</v>
      </c>
      <c r="D295" s="35" t="str">
        <f t="shared" si="45"/>
        <v>Paid Off</v>
      </c>
      <c r="E295" s="36" t="str">
        <f t="shared" si="46"/>
        <v>N/A</v>
      </c>
      <c r="F295" s="12" t="str">
        <f t="shared" si="47"/>
        <v>N/A</v>
      </c>
      <c r="G295" s="11" t="str">
        <f t="shared" si="48"/>
        <v>N/A</v>
      </c>
      <c r="H295" s="10" t="str">
        <f t="shared" si="49"/>
        <v>Paid Off</v>
      </c>
      <c r="I295" s="9">
        <f t="shared" si="40"/>
        <v>1</v>
      </c>
      <c r="J295" s="8">
        <f t="shared" si="41"/>
        <v>2044</v>
      </c>
      <c r="K295" s="1">
        <f t="shared" si="42"/>
        <v>52597</v>
      </c>
      <c r="L295" s="8"/>
    </row>
    <row r="296" spans="1:12" x14ac:dyDescent="0.35">
      <c r="A296">
        <v>278</v>
      </c>
      <c r="B296" s="13">
        <f t="shared" si="43"/>
        <v>44196</v>
      </c>
      <c r="C296" s="13">
        <f t="shared" si="44"/>
        <v>52656</v>
      </c>
      <c r="D296" s="35" t="str">
        <f t="shared" si="45"/>
        <v>Paid Off</v>
      </c>
      <c r="E296" s="36" t="str">
        <f t="shared" si="46"/>
        <v>N/A</v>
      </c>
      <c r="F296" s="12" t="str">
        <f t="shared" si="47"/>
        <v>N/A</v>
      </c>
      <c r="G296" s="11" t="str">
        <f t="shared" si="48"/>
        <v>N/A</v>
      </c>
      <c r="H296" s="10" t="str">
        <f t="shared" si="49"/>
        <v>Paid Off</v>
      </c>
      <c r="I296" s="9">
        <f t="shared" si="40"/>
        <v>2</v>
      </c>
      <c r="J296" s="8">
        <f t="shared" si="41"/>
        <v>2044</v>
      </c>
      <c r="K296" s="1">
        <f t="shared" si="42"/>
        <v>52628</v>
      </c>
      <c r="L296" s="8"/>
    </row>
    <row r="297" spans="1:12" x14ac:dyDescent="0.35">
      <c r="A297">
        <v>279</v>
      </c>
      <c r="B297" s="13">
        <f t="shared" si="43"/>
        <v>44196</v>
      </c>
      <c r="C297" s="13">
        <f t="shared" si="44"/>
        <v>52687</v>
      </c>
      <c r="D297" s="35" t="str">
        <f t="shared" si="45"/>
        <v>Paid Off</v>
      </c>
      <c r="E297" s="36" t="str">
        <f t="shared" si="46"/>
        <v>N/A</v>
      </c>
      <c r="F297" s="12" t="str">
        <f t="shared" si="47"/>
        <v>N/A</v>
      </c>
      <c r="G297" s="11" t="str">
        <f t="shared" si="48"/>
        <v>N/A</v>
      </c>
      <c r="H297" s="10" t="str">
        <f t="shared" si="49"/>
        <v>Paid Off</v>
      </c>
      <c r="I297" s="9">
        <f t="shared" si="40"/>
        <v>3</v>
      </c>
      <c r="J297" s="8">
        <f t="shared" si="41"/>
        <v>2044</v>
      </c>
      <c r="K297" s="1">
        <f t="shared" si="42"/>
        <v>52657</v>
      </c>
      <c r="L297" s="8"/>
    </row>
    <row r="298" spans="1:12" x14ac:dyDescent="0.35">
      <c r="A298">
        <v>280</v>
      </c>
      <c r="B298" s="13">
        <f t="shared" si="43"/>
        <v>44196</v>
      </c>
      <c r="C298" s="13">
        <f t="shared" si="44"/>
        <v>52717</v>
      </c>
      <c r="D298" s="35" t="str">
        <f t="shared" si="45"/>
        <v>Paid Off</v>
      </c>
      <c r="E298" s="36" t="str">
        <f t="shared" si="46"/>
        <v>N/A</v>
      </c>
      <c r="F298" s="12" t="str">
        <f t="shared" si="47"/>
        <v>N/A</v>
      </c>
      <c r="G298" s="11" t="str">
        <f t="shared" si="48"/>
        <v>N/A</v>
      </c>
      <c r="H298" s="10" t="str">
        <f t="shared" si="49"/>
        <v>Paid Off</v>
      </c>
      <c r="I298" s="9">
        <f t="shared" si="40"/>
        <v>4</v>
      </c>
      <c r="J298" s="8">
        <f t="shared" si="41"/>
        <v>2044</v>
      </c>
      <c r="K298" s="1">
        <f t="shared" si="42"/>
        <v>52688</v>
      </c>
      <c r="L298" s="8"/>
    </row>
    <row r="299" spans="1:12" x14ac:dyDescent="0.35">
      <c r="A299">
        <v>281</v>
      </c>
      <c r="B299" s="13">
        <f t="shared" si="43"/>
        <v>44196</v>
      </c>
      <c r="C299" s="13">
        <f t="shared" si="44"/>
        <v>52748</v>
      </c>
      <c r="D299" s="35" t="str">
        <f t="shared" si="45"/>
        <v>Paid Off</v>
      </c>
      <c r="E299" s="36" t="str">
        <f t="shared" si="46"/>
        <v>N/A</v>
      </c>
      <c r="F299" s="12" t="str">
        <f t="shared" si="47"/>
        <v>N/A</v>
      </c>
      <c r="G299" s="11" t="str">
        <f t="shared" si="48"/>
        <v>N/A</v>
      </c>
      <c r="H299" s="10" t="str">
        <f t="shared" si="49"/>
        <v>Paid Off</v>
      </c>
      <c r="I299" s="9">
        <f t="shared" si="40"/>
        <v>5</v>
      </c>
      <c r="J299" s="8">
        <f t="shared" si="41"/>
        <v>2044</v>
      </c>
      <c r="K299" s="1">
        <f t="shared" si="42"/>
        <v>52718</v>
      </c>
      <c r="L299" s="8"/>
    </row>
    <row r="300" spans="1:12" x14ac:dyDescent="0.35">
      <c r="A300">
        <v>282</v>
      </c>
      <c r="B300" s="13">
        <f t="shared" si="43"/>
        <v>44196</v>
      </c>
      <c r="C300" s="13">
        <f t="shared" si="44"/>
        <v>52778</v>
      </c>
      <c r="D300" s="35" t="str">
        <f t="shared" si="45"/>
        <v>Paid Off</v>
      </c>
      <c r="E300" s="36" t="str">
        <f t="shared" si="46"/>
        <v>N/A</v>
      </c>
      <c r="F300" s="12" t="str">
        <f t="shared" si="47"/>
        <v>N/A</v>
      </c>
      <c r="G300" s="11" t="str">
        <f t="shared" si="48"/>
        <v>N/A</v>
      </c>
      <c r="H300" s="10" t="str">
        <f t="shared" si="49"/>
        <v>Paid Off</v>
      </c>
      <c r="I300" s="9">
        <f t="shared" si="40"/>
        <v>6</v>
      </c>
      <c r="J300" s="8">
        <f t="shared" si="41"/>
        <v>2044</v>
      </c>
      <c r="K300" s="1">
        <f t="shared" si="42"/>
        <v>52749</v>
      </c>
      <c r="L300" s="8"/>
    </row>
    <row r="301" spans="1:12" x14ac:dyDescent="0.35">
      <c r="A301">
        <v>283</v>
      </c>
      <c r="B301" s="13">
        <f t="shared" si="43"/>
        <v>44196</v>
      </c>
      <c r="C301" s="13">
        <f t="shared" si="44"/>
        <v>52809</v>
      </c>
      <c r="D301" s="35" t="str">
        <f t="shared" si="45"/>
        <v>Paid Off</v>
      </c>
      <c r="E301" s="36" t="str">
        <f t="shared" si="46"/>
        <v>N/A</v>
      </c>
      <c r="F301" s="12" t="str">
        <f t="shared" si="47"/>
        <v>N/A</v>
      </c>
      <c r="G301" s="11" t="str">
        <f t="shared" si="48"/>
        <v>N/A</v>
      </c>
      <c r="H301" s="10" t="str">
        <f t="shared" si="49"/>
        <v>Paid Off</v>
      </c>
      <c r="I301" s="9">
        <f t="shared" si="40"/>
        <v>7</v>
      </c>
      <c r="J301" s="8">
        <f t="shared" si="41"/>
        <v>2044</v>
      </c>
      <c r="K301" s="1">
        <f t="shared" si="42"/>
        <v>52779</v>
      </c>
      <c r="L301" s="8"/>
    </row>
    <row r="302" spans="1:12" x14ac:dyDescent="0.35">
      <c r="A302">
        <v>284</v>
      </c>
      <c r="B302" s="13">
        <f t="shared" si="43"/>
        <v>44196</v>
      </c>
      <c r="C302" s="13">
        <f t="shared" si="44"/>
        <v>52840</v>
      </c>
      <c r="D302" s="35" t="str">
        <f t="shared" si="45"/>
        <v>Paid Off</v>
      </c>
      <c r="E302" s="36" t="str">
        <f t="shared" si="46"/>
        <v>N/A</v>
      </c>
      <c r="F302" s="12" t="str">
        <f t="shared" si="47"/>
        <v>N/A</v>
      </c>
      <c r="G302" s="11" t="str">
        <f t="shared" si="48"/>
        <v>N/A</v>
      </c>
      <c r="H302" s="10" t="str">
        <f t="shared" si="49"/>
        <v>Paid Off</v>
      </c>
      <c r="I302" s="9">
        <f t="shared" si="40"/>
        <v>8</v>
      </c>
      <c r="J302" s="8">
        <f t="shared" si="41"/>
        <v>2044</v>
      </c>
      <c r="K302" s="1">
        <f t="shared" si="42"/>
        <v>52810</v>
      </c>
      <c r="L302" s="8"/>
    </row>
    <row r="303" spans="1:12" x14ac:dyDescent="0.35">
      <c r="A303">
        <v>285</v>
      </c>
      <c r="B303" s="13">
        <f t="shared" si="43"/>
        <v>44196</v>
      </c>
      <c r="C303" s="13">
        <f t="shared" si="44"/>
        <v>52870</v>
      </c>
      <c r="D303" s="35" t="str">
        <f t="shared" si="45"/>
        <v>Paid Off</v>
      </c>
      <c r="E303" s="36" t="str">
        <f t="shared" si="46"/>
        <v>N/A</v>
      </c>
      <c r="F303" s="12" t="str">
        <f t="shared" si="47"/>
        <v>N/A</v>
      </c>
      <c r="G303" s="11" t="str">
        <f t="shared" si="48"/>
        <v>N/A</v>
      </c>
      <c r="H303" s="10" t="str">
        <f t="shared" si="49"/>
        <v>Paid Off</v>
      </c>
      <c r="I303" s="9">
        <f t="shared" si="40"/>
        <v>9</v>
      </c>
      <c r="J303" s="8">
        <f t="shared" si="41"/>
        <v>2044</v>
      </c>
      <c r="K303" s="1">
        <f t="shared" si="42"/>
        <v>52841</v>
      </c>
      <c r="L303" s="8"/>
    </row>
    <row r="304" spans="1:12" x14ac:dyDescent="0.35">
      <c r="A304">
        <v>286</v>
      </c>
      <c r="B304" s="13">
        <f t="shared" si="43"/>
        <v>44196</v>
      </c>
      <c r="C304" s="13">
        <f t="shared" si="44"/>
        <v>52901</v>
      </c>
      <c r="D304" s="35" t="str">
        <f t="shared" si="45"/>
        <v>Paid Off</v>
      </c>
      <c r="E304" s="36" t="str">
        <f t="shared" si="46"/>
        <v>N/A</v>
      </c>
      <c r="F304" s="12" t="str">
        <f t="shared" si="47"/>
        <v>N/A</v>
      </c>
      <c r="G304" s="11" t="str">
        <f t="shared" si="48"/>
        <v>N/A</v>
      </c>
      <c r="H304" s="10" t="str">
        <f t="shared" si="49"/>
        <v>Paid Off</v>
      </c>
      <c r="I304" s="9">
        <f t="shared" si="40"/>
        <v>10</v>
      </c>
      <c r="J304" s="8">
        <f t="shared" si="41"/>
        <v>2044</v>
      </c>
      <c r="K304" s="1">
        <f t="shared" si="42"/>
        <v>52871</v>
      </c>
      <c r="L304" s="8"/>
    </row>
    <row r="305" spans="1:12" x14ac:dyDescent="0.35">
      <c r="A305">
        <v>287</v>
      </c>
      <c r="B305" s="13">
        <f t="shared" si="43"/>
        <v>44196</v>
      </c>
      <c r="C305" s="13">
        <f t="shared" si="44"/>
        <v>52931</v>
      </c>
      <c r="D305" s="35" t="str">
        <f t="shared" si="45"/>
        <v>Paid Off</v>
      </c>
      <c r="E305" s="36" t="str">
        <f t="shared" si="46"/>
        <v>N/A</v>
      </c>
      <c r="F305" s="12" t="str">
        <f t="shared" si="47"/>
        <v>N/A</v>
      </c>
      <c r="G305" s="11" t="str">
        <f t="shared" si="48"/>
        <v>N/A</v>
      </c>
      <c r="H305" s="10" t="str">
        <f t="shared" si="49"/>
        <v>Paid Off</v>
      </c>
      <c r="I305" s="9">
        <f t="shared" si="40"/>
        <v>11</v>
      </c>
      <c r="J305" s="8">
        <f t="shared" si="41"/>
        <v>2044</v>
      </c>
      <c r="K305" s="1">
        <f t="shared" si="42"/>
        <v>52902</v>
      </c>
      <c r="L305" s="8"/>
    </row>
    <row r="306" spans="1:12" x14ac:dyDescent="0.35">
      <c r="A306">
        <v>288</v>
      </c>
      <c r="B306" s="13">
        <f t="shared" si="43"/>
        <v>44196</v>
      </c>
      <c r="C306" s="13">
        <f t="shared" si="44"/>
        <v>52962</v>
      </c>
      <c r="D306" s="35" t="str">
        <f t="shared" si="45"/>
        <v>Paid Off</v>
      </c>
      <c r="E306" s="36" t="str">
        <f t="shared" si="46"/>
        <v>N/A</v>
      </c>
      <c r="F306" s="12" t="str">
        <f t="shared" si="47"/>
        <v>N/A</v>
      </c>
      <c r="G306" s="11" t="str">
        <f t="shared" si="48"/>
        <v>N/A</v>
      </c>
      <c r="H306" s="10" t="str">
        <f t="shared" si="49"/>
        <v>Paid Off</v>
      </c>
      <c r="I306" s="9">
        <f t="shared" si="40"/>
        <v>12</v>
      </c>
      <c r="J306" s="8">
        <f t="shared" si="41"/>
        <v>2044</v>
      </c>
      <c r="K306" s="1">
        <f t="shared" si="42"/>
        <v>52932</v>
      </c>
      <c r="L306" s="8"/>
    </row>
    <row r="307" spans="1:12" x14ac:dyDescent="0.35">
      <c r="A307">
        <v>289</v>
      </c>
      <c r="B307" s="13">
        <f t="shared" si="43"/>
        <v>44196</v>
      </c>
      <c r="C307" s="13">
        <f t="shared" si="44"/>
        <v>52993</v>
      </c>
      <c r="D307" s="35" t="str">
        <f t="shared" si="45"/>
        <v>Paid Off</v>
      </c>
      <c r="E307" s="36" t="str">
        <f t="shared" si="46"/>
        <v>N/A</v>
      </c>
      <c r="F307" s="12" t="str">
        <f t="shared" si="47"/>
        <v>N/A</v>
      </c>
      <c r="G307" s="11" t="str">
        <f t="shared" si="48"/>
        <v>N/A</v>
      </c>
      <c r="H307" s="10" t="str">
        <f t="shared" si="49"/>
        <v>Paid Off</v>
      </c>
      <c r="I307" s="9">
        <f t="shared" si="40"/>
        <v>1</v>
      </c>
      <c r="J307" s="8">
        <f t="shared" si="41"/>
        <v>2045</v>
      </c>
      <c r="K307" s="1">
        <f t="shared" si="42"/>
        <v>52963</v>
      </c>
      <c r="L307" s="8"/>
    </row>
    <row r="308" spans="1:12" x14ac:dyDescent="0.35">
      <c r="A308">
        <v>290</v>
      </c>
      <c r="B308" s="13">
        <f t="shared" si="43"/>
        <v>44196</v>
      </c>
      <c r="C308" s="13">
        <f t="shared" si="44"/>
        <v>53021</v>
      </c>
      <c r="D308" s="35" t="str">
        <f t="shared" si="45"/>
        <v>Paid Off</v>
      </c>
      <c r="E308" s="36" t="str">
        <f t="shared" si="46"/>
        <v>N/A</v>
      </c>
      <c r="F308" s="12" t="str">
        <f t="shared" si="47"/>
        <v>N/A</v>
      </c>
      <c r="G308" s="11" t="str">
        <f t="shared" si="48"/>
        <v>N/A</v>
      </c>
      <c r="H308" s="10" t="str">
        <f t="shared" si="49"/>
        <v>Paid Off</v>
      </c>
      <c r="I308" s="9">
        <f t="shared" si="40"/>
        <v>2</v>
      </c>
      <c r="J308" s="8">
        <f t="shared" si="41"/>
        <v>2045</v>
      </c>
      <c r="K308" s="1">
        <f t="shared" si="42"/>
        <v>52994</v>
      </c>
      <c r="L308" s="8"/>
    </row>
    <row r="309" spans="1:12" x14ac:dyDescent="0.35">
      <c r="A309">
        <v>291</v>
      </c>
      <c r="B309" s="13">
        <f t="shared" si="43"/>
        <v>44196</v>
      </c>
      <c r="C309" s="13">
        <f t="shared" si="44"/>
        <v>53052</v>
      </c>
      <c r="D309" s="35" t="str">
        <f t="shared" si="45"/>
        <v>Paid Off</v>
      </c>
      <c r="E309" s="36" t="str">
        <f t="shared" si="46"/>
        <v>N/A</v>
      </c>
      <c r="F309" s="12" t="str">
        <f t="shared" si="47"/>
        <v>N/A</v>
      </c>
      <c r="G309" s="11" t="str">
        <f t="shared" si="48"/>
        <v>N/A</v>
      </c>
      <c r="H309" s="10" t="str">
        <f t="shared" si="49"/>
        <v>Paid Off</v>
      </c>
      <c r="I309" s="9">
        <f t="shared" si="40"/>
        <v>3</v>
      </c>
      <c r="J309" s="8">
        <f t="shared" si="41"/>
        <v>2045</v>
      </c>
      <c r="K309" s="1">
        <f t="shared" si="42"/>
        <v>53022</v>
      </c>
      <c r="L309" s="8"/>
    </row>
    <row r="310" spans="1:12" x14ac:dyDescent="0.35">
      <c r="A310">
        <v>292</v>
      </c>
      <c r="B310" s="13">
        <f t="shared" si="43"/>
        <v>44196</v>
      </c>
      <c r="C310" s="13">
        <f t="shared" si="44"/>
        <v>53082</v>
      </c>
      <c r="D310" s="35" t="str">
        <f t="shared" si="45"/>
        <v>Paid Off</v>
      </c>
      <c r="E310" s="36" t="str">
        <f t="shared" si="46"/>
        <v>N/A</v>
      </c>
      <c r="F310" s="12" t="str">
        <f t="shared" si="47"/>
        <v>N/A</v>
      </c>
      <c r="G310" s="11" t="str">
        <f t="shared" si="48"/>
        <v>N/A</v>
      </c>
      <c r="H310" s="10" t="str">
        <f t="shared" si="49"/>
        <v>Paid Off</v>
      </c>
      <c r="I310" s="9">
        <f t="shared" si="40"/>
        <v>4</v>
      </c>
      <c r="J310" s="8">
        <f t="shared" si="41"/>
        <v>2045</v>
      </c>
      <c r="K310" s="1">
        <f t="shared" si="42"/>
        <v>53053</v>
      </c>
      <c r="L310" s="8"/>
    </row>
    <row r="311" spans="1:12" x14ac:dyDescent="0.35">
      <c r="A311">
        <v>293</v>
      </c>
      <c r="B311" s="13">
        <f t="shared" si="43"/>
        <v>44196</v>
      </c>
      <c r="C311" s="13">
        <f t="shared" si="44"/>
        <v>53113</v>
      </c>
      <c r="D311" s="35" t="str">
        <f t="shared" si="45"/>
        <v>Paid Off</v>
      </c>
      <c r="E311" s="36" t="str">
        <f t="shared" si="46"/>
        <v>N/A</v>
      </c>
      <c r="F311" s="12" t="str">
        <f t="shared" si="47"/>
        <v>N/A</v>
      </c>
      <c r="G311" s="11" t="str">
        <f t="shared" si="48"/>
        <v>N/A</v>
      </c>
      <c r="H311" s="10" t="str">
        <f t="shared" si="49"/>
        <v>Paid Off</v>
      </c>
      <c r="I311" s="9">
        <f t="shared" si="40"/>
        <v>5</v>
      </c>
      <c r="J311" s="8">
        <f t="shared" si="41"/>
        <v>2045</v>
      </c>
      <c r="K311" s="1">
        <f t="shared" si="42"/>
        <v>53083</v>
      </c>
      <c r="L311" s="8"/>
    </row>
    <row r="312" spans="1:12" x14ac:dyDescent="0.35">
      <c r="A312">
        <v>294</v>
      </c>
      <c r="B312" s="13">
        <f t="shared" si="43"/>
        <v>44196</v>
      </c>
      <c r="C312" s="13">
        <f t="shared" si="44"/>
        <v>53143</v>
      </c>
      <c r="D312" s="35" t="str">
        <f t="shared" si="45"/>
        <v>Paid Off</v>
      </c>
      <c r="E312" s="36" t="str">
        <f t="shared" si="46"/>
        <v>N/A</v>
      </c>
      <c r="F312" s="12" t="str">
        <f t="shared" si="47"/>
        <v>N/A</v>
      </c>
      <c r="G312" s="11" t="str">
        <f t="shared" si="48"/>
        <v>N/A</v>
      </c>
      <c r="H312" s="10" t="str">
        <f t="shared" si="49"/>
        <v>Paid Off</v>
      </c>
      <c r="I312" s="9">
        <f t="shared" si="40"/>
        <v>6</v>
      </c>
      <c r="J312" s="8">
        <f t="shared" si="41"/>
        <v>2045</v>
      </c>
      <c r="K312" s="1">
        <f t="shared" si="42"/>
        <v>53114</v>
      </c>
      <c r="L312" s="8"/>
    </row>
    <row r="313" spans="1:12" x14ac:dyDescent="0.35">
      <c r="A313">
        <v>295</v>
      </c>
      <c r="B313" s="13">
        <f t="shared" si="43"/>
        <v>44196</v>
      </c>
      <c r="C313" s="13">
        <f t="shared" si="44"/>
        <v>53174</v>
      </c>
      <c r="D313" s="35" t="str">
        <f t="shared" si="45"/>
        <v>Paid Off</v>
      </c>
      <c r="E313" s="36" t="str">
        <f t="shared" si="46"/>
        <v>N/A</v>
      </c>
      <c r="F313" s="12" t="str">
        <f t="shared" si="47"/>
        <v>N/A</v>
      </c>
      <c r="G313" s="11" t="str">
        <f t="shared" si="48"/>
        <v>N/A</v>
      </c>
      <c r="H313" s="10" t="str">
        <f t="shared" si="49"/>
        <v>Paid Off</v>
      </c>
      <c r="I313" s="9">
        <f t="shared" si="40"/>
        <v>7</v>
      </c>
      <c r="J313" s="8">
        <f t="shared" si="41"/>
        <v>2045</v>
      </c>
      <c r="K313" s="1">
        <f t="shared" si="42"/>
        <v>53144</v>
      </c>
      <c r="L313" s="8"/>
    </row>
    <row r="314" spans="1:12" x14ac:dyDescent="0.35">
      <c r="A314">
        <v>296</v>
      </c>
      <c r="B314" s="13">
        <f t="shared" si="43"/>
        <v>44196</v>
      </c>
      <c r="C314" s="13">
        <f t="shared" si="44"/>
        <v>53205</v>
      </c>
      <c r="D314" s="35" t="str">
        <f t="shared" si="45"/>
        <v>Paid Off</v>
      </c>
      <c r="E314" s="36" t="str">
        <f t="shared" si="46"/>
        <v>N/A</v>
      </c>
      <c r="F314" s="12" t="str">
        <f t="shared" si="47"/>
        <v>N/A</v>
      </c>
      <c r="G314" s="11" t="str">
        <f t="shared" si="48"/>
        <v>N/A</v>
      </c>
      <c r="H314" s="10" t="str">
        <f t="shared" si="49"/>
        <v>Paid Off</v>
      </c>
      <c r="I314" s="9">
        <f t="shared" si="40"/>
        <v>8</v>
      </c>
      <c r="J314" s="8">
        <f t="shared" si="41"/>
        <v>2045</v>
      </c>
      <c r="K314" s="1">
        <f t="shared" si="42"/>
        <v>53175</v>
      </c>
      <c r="L314" s="8"/>
    </row>
    <row r="315" spans="1:12" x14ac:dyDescent="0.35">
      <c r="A315">
        <v>297</v>
      </c>
      <c r="B315" s="13">
        <f t="shared" si="43"/>
        <v>44196</v>
      </c>
      <c r="C315" s="13">
        <f t="shared" si="44"/>
        <v>53235</v>
      </c>
      <c r="D315" s="35" t="str">
        <f t="shared" si="45"/>
        <v>Paid Off</v>
      </c>
      <c r="E315" s="36" t="str">
        <f t="shared" si="46"/>
        <v>N/A</v>
      </c>
      <c r="F315" s="12" t="str">
        <f t="shared" si="47"/>
        <v>N/A</v>
      </c>
      <c r="G315" s="11" t="str">
        <f t="shared" si="48"/>
        <v>N/A</v>
      </c>
      <c r="H315" s="10" t="str">
        <f t="shared" si="49"/>
        <v>Paid Off</v>
      </c>
      <c r="I315" s="9">
        <f t="shared" si="40"/>
        <v>9</v>
      </c>
      <c r="J315" s="8">
        <f t="shared" si="41"/>
        <v>2045</v>
      </c>
      <c r="K315" s="1">
        <f t="shared" si="42"/>
        <v>53206</v>
      </c>
      <c r="L315" s="8"/>
    </row>
    <row r="316" spans="1:12" x14ac:dyDescent="0.35">
      <c r="A316">
        <v>298</v>
      </c>
      <c r="B316" s="13">
        <f t="shared" si="43"/>
        <v>44196</v>
      </c>
      <c r="C316" s="13">
        <f t="shared" si="44"/>
        <v>53266</v>
      </c>
      <c r="D316" s="35" t="str">
        <f t="shared" si="45"/>
        <v>Paid Off</v>
      </c>
      <c r="E316" s="36" t="str">
        <f t="shared" si="46"/>
        <v>N/A</v>
      </c>
      <c r="F316" s="12" t="str">
        <f t="shared" si="47"/>
        <v>N/A</v>
      </c>
      <c r="G316" s="11" t="str">
        <f t="shared" si="48"/>
        <v>N/A</v>
      </c>
      <c r="H316" s="10" t="str">
        <f t="shared" si="49"/>
        <v>Paid Off</v>
      </c>
      <c r="I316" s="9">
        <f t="shared" si="40"/>
        <v>10</v>
      </c>
      <c r="J316" s="8">
        <f t="shared" si="41"/>
        <v>2045</v>
      </c>
      <c r="K316" s="1">
        <f t="shared" si="42"/>
        <v>53236</v>
      </c>
      <c r="L316" s="8"/>
    </row>
    <row r="317" spans="1:12" x14ac:dyDescent="0.35">
      <c r="A317">
        <v>299</v>
      </c>
      <c r="B317" s="13">
        <f t="shared" si="43"/>
        <v>44196</v>
      </c>
      <c r="C317" s="13">
        <f t="shared" si="44"/>
        <v>53296</v>
      </c>
      <c r="D317" s="35" t="str">
        <f t="shared" si="45"/>
        <v>Paid Off</v>
      </c>
      <c r="E317" s="36" t="str">
        <f t="shared" si="46"/>
        <v>N/A</v>
      </c>
      <c r="F317" s="12" t="str">
        <f t="shared" si="47"/>
        <v>N/A</v>
      </c>
      <c r="G317" s="11" t="str">
        <f t="shared" si="48"/>
        <v>N/A</v>
      </c>
      <c r="H317" s="10" t="str">
        <f t="shared" si="49"/>
        <v>Paid Off</v>
      </c>
      <c r="I317" s="9">
        <f t="shared" si="40"/>
        <v>11</v>
      </c>
      <c r="J317" s="8">
        <f t="shared" si="41"/>
        <v>2045</v>
      </c>
      <c r="K317" s="1">
        <f t="shared" si="42"/>
        <v>53267</v>
      </c>
      <c r="L317" s="8"/>
    </row>
    <row r="318" spans="1:12" x14ac:dyDescent="0.35">
      <c r="A318">
        <v>300</v>
      </c>
      <c r="B318" s="13">
        <f t="shared" si="43"/>
        <v>44196</v>
      </c>
      <c r="C318" s="13">
        <f t="shared" si="44"/>
        <v>53327</v>
      </c>
      <c r="D318" s="35" t="str">
        <f t="shared" si="45"/>
        <v>Paid Off</v>
      </c>
      <c r="E318" s="36" t="str">
        <f t="shared" si="46"/>
        <v>N/A</v>
      </c>
      <c r="F318" s="12" t="str">
        <f t="shared" si="47"/>
        <v>N/A</v>
      </c>
      <c r="G318" s="11" t="str">
        <f t="shared" si="48"/>
        <v>N/A</v>
      </c>
      <c r="H318" s="10" t="str">
        <f t="shared" si="49"/>
        <v>Paid Off</v>
      </c>
      <c r="I318" s="9">
        <f t="shared" si="40"/>
        <v>12</v>
      </c>
      <c r="J318" s="8">
        <f t="shared" si="41"/>
        <v>2045</v>
      </c>
      <c r="K318" s="1">
        <f t="shared" si="42"/>
        <v>53297</v>
      </c>
      <c r="L318" s="8"/>
    </row>
    <row r="319" spans="1:12" x14ac:dyDescent="0.35">
      <c r="A319">
        <v>301</v>
      </c>
      <c r="B319" s="13">
        <f t="shared" si="43"/>
        <v>44196</v>
      </c>
      <c r="C319" s="13">
        <f t="shared" si="44"/>
        <v>53358</v>
      </c>
      <c r="D319" s="35" t="str">
        <f t="shared" si="45"/>
        <v>Paid Off</v>
      </c>
      <c r="E319" s="36" t="str">
        <f t="shared" si="46"/>
        <v>N/A</v>
      </c>
      <c r="F319" s="12" t="str">
        <f t="shared" si="47"/>
        <v>N/A</v>
      </c>
      <c r="G319" s="11" t="str">
        <f t="shared" si="48"/>
        <v>N/A</v>
      </c>
      <c r="H319" s="10" t="str">
        <f t="shared" si="49"/>
        <v>Paid Off</v>
      </c>
      <c r="I319" s="9">
        <f t="shared" si="40"/>
        <v>1</v>
      </c>
      <c r="J319" s="8">
        <f t="shared" si="41"/>
        <v>2046</v>
      </c>
      <c r="K319" s="1">
        <f t="shared" si="42"/>
        <v>53328</v>
      </c>
      <c r="L319" s="8"/>
    </row>
    <row r="320" spans="1:12" x14ac:dyDescent="0.35">
      <c r="A320">
        <v>302</v>
      </c>
      <c r="B320" s="13">
        <f t="shared" si="43"/>
        <v>44196</v>
      </c>
      <c r="C320" s="13">
        <f t="shared" si="44"/>
        <v>53386</v>
      </c>
      <c r="D320" s="35" t="str">
        <f t="shared" si="45"/>
        <v>Paid Off</v>
      </c>
      <c r="E320" s="36" t="str">
        <f t="shared" si="46"/>
        <v>N/A</v>
      </c>
      <c r="F320" s="12" t="str">
        <f t="shared" si="47"/>
        <v>N/A</v>
      </c>
      <c r="G320" s="11" t="str">
        <f t="shared" si="48"/>
        <v>N/A</v>
      </c>
      <c r="H320" s="10" t="str">
        <f t="shared" si="49"/>
        <v>Paid Off</v>
      </c>
      <c r="I320" s="9">
        <f t="shared" si="40"/>
        <v>2</v>
      </c>
      <c r="J320" s="8">
        <f t="shared" si="41"/>
        <v>2046</v>
      </c>
      <c r="K320" s="1">
        <f t="shared" si="42"/>
        <v>53359</v>
      </c>
      <c r="L320" s="8"/>
    </row>
    <row r="321" spans="1:12" x14ac:dyDescent="0.35">
      <c r="A321">
        <v>303</v>
      </c>
      <c r="B321" s="13">
        <f t="shared" si="43"/>
        <v>44196</v>
      </c>
      <c r="C321" s="13">
        <f t="shared" si="44"/>
        <v>53417</v>
      </c>
      <c r="D321" s="35" t="str">
        <f t="shared" si="45"/>
        <v>Paid Off</v>
      </c>
      <c r="E321" s="36" t="str">
        <f t="shared" si="46"/>
        <v>N/A</v>
      </c>
      <c r="F321" s="12" t="str">
        <f t="shared" si="47"/>
        <v>N/A</v>
      </c>
      <c r="G321" s="11" t="str">
        <f t="shared" si="48"/>
        <v>N/A</v>
      </c>
      <c r="H321" s="10" t="str">
        <f t="shared" si="49"/>
        <v>Paid Off</v>
      </c>
      <c r="I321" s="9">
        <f t="shared" si="40"/>
        <v>3</v>
      </c>
      <c r="J321" s="8">
        <f t="shared" si="41"/>
        <v>2046</v>
      </c>
      <c r="K321" s="1">
        <f t="shared" si="42"/>
        <v>53387</v>
      </c>
      <c r="L321" s="8"/>
    </row>
    <row r="322" spans="1:12" x14ac:dyDescent="0.35">
      <c r="A322">
        <v>304</v>
      </c>
      <c r="B322" s="13">
        <f t="shared" si="43"/>
        <v>44196</v>
      </c>
      <c r="C322" s="13">
        <f t="shared" si="44"/>
        <v>53447</v>
      </c>
      <c r="D322" s="35" t="str">
        <f t="shared" si="45"/>
        <v>Paid Off</v>
      </c>
      <c r="E322" s="36" t="str">
        <f t="shared" si="46"/>
        <v>N/A</v>
      </c>
      <c r="F322" s="12" t="str">
        <f t="shared" si="47"/>
        <v>N/A</v>
      </c>
      <c r="G322" s="11" t="str">
        <f t="shared" si="48"/>
        <v>N/A</v>
      </c>
      <c r="H322" s="10" t="str">
        <f t="shared" si="49"/>
        <v>Paid Off</v>
      </c>
      <c r="I322" s="9">
        <f t="shared" si="40"/>
        <v>4</v>
      </c>
      <c r="J322" s="8">
        <f t="shared" si="41"/>
        <v>2046</v>
      </c>
      <c r="K322" s="1">
        <f t="shared" si="42"/>
        <v>53418</v>
      </c>
      <c r="L322" s="8"/>
    </row>
    <row r="323" spans="1:12" x14ac:dyDescent="0.35">
      <c r="A323">
        <v>305</v>
      </c>
      <c r="B323" s="13">
        <f t="shared" si="43"/>
        <v>44196</v>
      </c>
      <c r="C323" s="13">
        <f t="shared" si="44"/>
        <v>53478</v>
      </c>
      <c r="D323" s="35" t="str">
        <f t="shared" si="45"/>
        <v>Paid Off</v>
      </c>
      <c r="E323" s="36" t="str">
        <f t="shared" si="46"/>
        <v>N/A</v>
      </c>
      <c r="F323" s="12" t="str">
        <f t="shared" si="47"/>
        <v>N/A</v>
      </c>
      <c r="G323" s="11" t="str">
        <f t="shared" si="48"/>
        <v>N/A</v>
      </c>
      <c r="H323" s="10" t="str">
        <f t="shared" si="49"/>
        <v>Paid Off</v>
      </c>
      <c r="I323" s="9">
        <f t="shared" si="40"/>
        <v>5</v>
      </c>
      <c r="J323" s="8">
        <f t="shared" si="41"/>
        <v>2046</v>
      </c>
      <c r="K323" s="1">
        <f t="shared" si="42"/>
        <v>53448</v>
      </c>
      <c r="L323" s="8"/>
    </row>
    <row r="324" spans="1:12" x14ac:dyDescent="0.35">
      <c r="A324">
        <v>306</v>
      </c>
      <c r="B324" s="13">
        <f t="shared" si="43"/>
        <v>44196</v>
      </c>
      <c r="C324" s="13">
        <f t="shared" si="44"/>
        <v>53508</v>
      </c>
      <c r="D324" s="35" t="str">
        <f t="shared" si="45"/>
        <v>Paid Off</v>
      </c>
      <c r="E324" s="36" t="str">
        <f t="shared" si="46"/>
        <v>N/A</v>
      </c>
      <c r="F324" s="12" t="str">
        <f t="shared" si="47"/>
        <v>N/A</v>
      </c>
      <c r="G324" s="11" t="str">
        <f t="shared" si="48"/>
        <v>N/A</v>
      </c>
      <c r="H324" s="10" t="str">
        <f t="shared" si="49"/>
        <v>Paid Off</v>
      </c>
      <c r="I324" s="9">
        <f t="shared" si="40"/>
        <v>6</v>
      </c>
      <c r="J324" s="8">
        <f t="shared" si="41"/>
        <v>2046</v>
      </c>
      <c r="K324" s="1">
        <f t="shared" si="42"/>
        <v>53479</v>
      </c>
      <c r="L324" s="8"/>
    </row>
    <row r="325" spans="1:12" x14ac:dyDescent="0.35">
      <c r="A325">
        <v>307</v>
      </c>
      <c r="B325" s="13">
        <f t="shared" si="43"/>
        <v>44196</v>
      </c>
      <c r="C325" s="13">
        <f t="shared" si="44"/>
        <v>53539</v>
      </c>
      <c r="D325" s="35" t="str">
        <f t="shared" si="45"/>
        <v>Paid Off</v>
      </c>
      <c r="E325" s="36" t="str">
        <f t="shared" si="46"/>
        <v>N/A</v>
      </c>
      <c r="F325" s="12" t="str">
        <f t="shared" si="47"/>
        <v>N/A</v>
      </c>
      <c r="G325" s="11" t="str">
        <f t="shared" si="48"/>
        <v>N/A</v>
      </c>
      <c r="H325" s="10" t="str">
        <f t="shared" si="49"/>
        <v>Paid Off</v>
      </c>
      <c r="I325" s="9">
        <f t="shared" si="40"/>
        <v>7</v>
      </c>
      <c r="J325" s="8">
        <f t="shared" si="41"/>
        <v>2046</v>
      </c>
      <c r="K325" s="1">
        <f t="shared" si="42"/>
        <v>53509</v>
      </c>
      <c r="L325" s="8"/>
    </row>
    <row r="326" spans="1:12" x14ac:dyDescent="0.35">
      <c r="A326">
        <v>308</v>
      </c>
      <c r="B326" s="13">
        <f t="shared" si="43"/>
        <v>44196</v>
      </c>
      <c r="C326" s="13">
        <f t="shared" si="44"/>
        <v>53570</v>
      </c>
      <c r="D326" s="35" t="str">
        <f t="shared" si="45"/>
        <v>Paid Off</v>
      </c>
      <c r="E326" s="36" t="str">
        <f t="shared" si="46"/>
        <v>N/A</v>
      </c>
      <c r="F326" s="12" t="str">
        <f t="shared" si="47"/>
        <v>N/A</v>
      </c>
      <c r="G326" s="11" t="str">
        <f t="shared" si="48"/>
        <v>N/A</v>
      </c>
      <c r="H326" s="10" t="str">
        <f t="shared" si="49"/>
        <v>Paid Off</v>
      </c>
      <c r="I326" s="9">
        <f t="shared" si="40"/>
        <v>8</v>
      </c>
      <c r="J326" s="8">
        <f t="shared" si="41"/>
        <v>2046</v>
      </c>
      <c r="K326" s="1">
        <f t="shared" si="42"/>
        <v>53540</v>
      </c>
      <c r="L326" s="8"/>
    </row>
    <row r="327" spans="1:12" x14ac:dyDescent="0.35">
      <c r="A327">
        <v>309</v>
      </c>
      <c r="B327" s="13">
        <f t="shared" si="43"/>
        <v>44196</v>
      </c>
      <c r="C327" s="13">
        <f t="shared" si="44"/>
        <v>53600</v>
      </c>
      <c r="D327" s="35" t="str">
        <f t="shared" si="45"/>
        <v>Paid Off</v>
      </c>
      <c r="E327" s="36" t="str">
        <f t="shared" si="46"/>
        <v>N/A</v>
      </c>
      <c r="F327" s="12" t="str">
        <f t="shared" si="47"/>
        <v>N/A</v>
      </c>
      <c r="G327" s="11" t="str">
        <f t="shared" si="48"/>
        <v>N/A</v>
      </c>
      <c r="H327" s="10" t="str">
        <f t="shared" si="49"/>
        <v>Paid Off</v>
      </c>
      <c r="I327" s="9">
        <f t="shared" si="40"/>
        <v>9</v>
      </c>
      <c r="J327" s="8">
        <f t="shared" si="41"/>
        <v>2046</v>
      </c>
      <c r="K327" s="1">
        <f t="shared" si="42"/>
        <v>53571</v>
      </c>
      <c r="L327" s="8"/>
    </row>
    <row r="328" spans="1:12" x14ac:dyDescent="0.35">
      <c r="A328">
        <v>310</v>
      </c>
      <c r="B328" s="13">
        <f t="shared" si="43"/>
        <v>44196</v>
      </c>
      <c r="C328" s="13">
        <f t="shared" si="44"/>
        <v>53631</v>
      </c>
      <c r="D328" s="35" t="str">
        <f t="shared" si="45"/>
        <v>Paid Off</v>
      </c>
      <c r="E328" s="36" t="str">
        <f t="shared" si="46"/>
        <v>N/A</v>
      </c>
      <c r="F328" s="12" t="str">
        <f t="shared" si="47"/>
        <v>N/A</v>
      </c>
      <c r="G328" s="11" t="str">
        <f t="shared" si="48"/>
        <v>N/A</v>
      </c>
      <c r="H328" s="10" t="str">
        <f t="shared" si="49"/>
        <v>Paid Off</v>
      </c>
      <c r="I328" s="9">
        <f t="shared" si="40"/>
        <v>10</v>
      </c>
      <c r="J328" s="8">
        <f t="shared" si="41"/>
        <v>2046</v>
      </c>
      <c r="K328" s="1">
        <f t="shared" si="42"/>
        <v>53601</v>
      </c>
      <c r="L328" s="8"/>
    </row>
    <row r="329" spans="1:12" x14ac:dyDescent="0.35">
      <c r="A329">
        <v>311</v>
      </c>
      <c r="B329" s="13">
        <f t="shared" si="43"/>
        <v>44196</v>
      </c>
      <c r="C329" s="13">
        <f t="shared" si="44"/>
        <v>53661</v>
      </c>
      <c r="D329" s="35" t="str">
        <f t="shared" si="45"/>
        <v>Paid Off</v>
      </c>
      <c r="E329" s="36" t="str">
        <f t="shared" si="46"/>
        <v>N/A</v>
      </c>
      <c r="F329" s="12" t="str">
        <f t="shared" si="47"/>
        <v>N/A</v>
      </c>
      <c r="G329" s="11" t="str">
        <f t="shared" si="48"/>
        <v>N/A</v>
      </c>
      <c r="H329" s="10" t="str">
        <f t="shared" si="49"/>
        <v>Paid Off</v>
      </c>
      <c r="I329" s="9">
        <f t="shared" si="40"/>
        <v>11</v>
      </c>
      <c r="J329" s="8">
        <f t="shared" si="41"/>
        <v>2046</v>
      </c>
      <c r="K329" s="1">
        <f t="shared" si="42"/>
        <v>53632</v>
      </c>
      <c r="L329" s="8"/>
    </row>
    <row r="330" spans="1:12" x14ac:dyDescent="0.35">
      <c r="A330">
        <v>312</v>
      </c>
      <c r="B330" s="13">
        <f t="shared" si="43"/>
        <v>44196</v>
      </c>
      <c r="C330" s="13">
        <f t="shared" si="44"/>
        <v>53692</v>
      </c>
      <c r="D330" s="35" t="str">
        <f t="shared" si="45"/>
        <v>Paid Off</v>
      </c>
      <c r="E330" s="36" t="str">
        <f t="shared" si="46"/>
        <v>N/A</v>
      </c>
      <c r="F330" s="12" t="str">
        <f t="shared" si="47"/>
        <v>N/A</v>
      </c>
      <c r="G330" s="11" t="str">
        <f t="shared" si="48"/>
        <v>N/A</v>
      </c>
      <c r="H330" s="10" t="str">
        <f t="shared" si="49"/>
        <v>Paid Off</v>
      </c>
      <c r="I330" s="9">
        <f t="shared" si="40"/>
        <v>12</v>
      </c>
      <c r="J330" s="8">
        <f t="shared" si="41"/>
        <v>2046</v>
      </c>
      <c r="K330" s="1">
        <f t="shared" si="42"/>
        <v>53662</v>
      </c>
      <c r="L330" s="8"/>
    </row>
    <row r="331" spans="1:12" x14ac:dyDescent="0.35">
      <c r="A331">
        <v>313</v>
      </c>
      <c r="B331" s="13">
        <f t="shared" si="43"/>
        <v>44196</v>
      </c>
      <c r="C331" s="13">
        <f t="shared" si="44"/>
        <v>53723</v>
      </c>
      <c r="D331" s="35" t="str">
        <f t="shared" si="45"/>
        <v>Paid Off</v>
      </c>
      <c r="E331" s="36" t="str">
        <f t="shared" si="46"/>
        <v>N/A</v>
      </c>
      <c r="F331" s="12" t="str">
        <f t="shared" si="47"/>
        <v>N/A</v>
      </c>
      <c r="G331" s="11" t="str">
        <f t="shared" si="48"/>
        <v>N/A</v>
      </c>
      <c r="H331" s="10" t="str">
        <f t="shared" si="49"/>
        <v>Paid Off</v>
      </c>
      <c r="I331" s="9">
        <f t="shared" si="40"/>
        <v>1</v>
      </c>
      <c r="J331" s="8">
        <f t="shared" si="41"/>
        <v>2047</v>
      </c>
      <c r="K331" s="1">
        <f t="shared" si="42"/>
        <v>53693</v>
      </c>
      <c r="L331" s="8"/>
    </row>
    <row r="332" spans="1:12" x14ac:dyDescent="0.35">
      <c r="A332">
        <v>314</v>
      </c>
      <c r="B332" s="13">
        <f t="shared" si="43"/>
        <v>44196</v>
      </c>
      <c r="C332" s="13">
        <f t="shared" si="44"/>
        <v>53751</v>
      </c>
      <c r="D332" s="35" t="str">
        <f t="shared" si="45"/>
        <v>Paid Off</v>
      </c>
      <c r="E332" s="36" t="str">
        <f t="shared" si="46"/>
        <v>N/A</v>
      </c>
      <c r="F332" s="12" t="str">
        <f t="shared" si="47"/>
        <v>N/A</v>
      </c>
      <c r="G332" s="11" t="str">
        <f t="shared" si="48"/>
        <v>N/A</v>
      </c>
      <c r="H332" s="10" t="str">
        <f t="shared" si="49"/>
        <v>Paid Off</v>
      </c>
      <c r="I332" s="9">
        <f t="shared" si="40"/>
        <v>2</v>
      </c>
      <c r="J332" s="8">
        <f t="shared" si="41"/>
        <v>2047</v>
      </c>
      <c r="K332" s="1">
        <f t="shared" si="42"/>
        <v>53724</v>
      </c>
      <c r="L332" s="8"/>
    </row>
    <row r="333" spans="1:12" x14ac:dyDescent="0.35">
      <c r="A333">
        <v>315</v>
      </c>
      <c r="B333" s="13">
        <f t="shared" si="43"/>
        <v>44196</v>
      </c>
      <c r="C333" s="13">
        <f t="shared" si="44"/>
        <v>53782</v>
      </c>
      <c r="D333" s="35" t="str">
        <f t="shared" si="45"/>
        <v>Paid Off</v>
      </c>
      <c r="E333" s="36" t="str">
        <f t="shared" si="46"/>
        <v>N/A</v>
      </c>
      <c r="F333" s="12" t="str">
        <f t="shared" si="47"/>
        <v>N/A</v>
      </c>
      <c r="G333" s="11" t="str">
        <f t="shared" si="48"/>
        <v>N/A</v>
      </c>
      <c r="H333" s="10" t="str">
        <f t="shared" si="49"/>
        <v>Paid Off</v>
      </c>
      <c r="I333" s="9">
        <f t="shared" si="40"/>
        <v>3</v>
      </c>
      <c r="J333" s="8">
        <f t="shared" si="41"/>
        <v>2047</v>
      </c>
      <c r="K333" s="1">
        <f t="shared" si="42"/>
        <v>53752</v>
      </c>
      <c r="L333" s="8"/>
    </row>
    <row r="334" spans="1:12" x14ac:dyDescent="0.35">
      <c r="A334">
        <v>316</v>
      </c>
      <c r="B334" s="13">
        <f t="shared" si="43"/>
        <v>44196</v>
      </c>
      <c r="C334" s="13">
        <f t="shared" si="44"/>
        <v>53812</v>
      </c>
      <c r="D334" s="35" t="str">
        <f t="shared" si="45"/>
        <v>Paid Off</v>
      </c>
      <c r="E334" s="36" t="str">
        <f t="shared" si="46"/>
        <v>N/A</v>
      </c>
      <c r="F334" s="12" t="str">
        <f t="shared" si="47"/>
        <v>N/A</v>
      </c>
      <c r="G334" s="11" t="str">
        <f t="shared" si="48"/>
        <v>N/A</v>
      </c>
      <c r="H334" s="10" t="str">
        <f t="shared" si="49"/>
        <v>Paid Off</v>
      </c>
      <c r="I334" s="9">
        <f t="shared" si="40"/>
        <v>4</v>
      </c>
      <c r="J334" s="8">
        <f t="shared" si="41"/>
        <v>2047</v>
      </c>
      <c r="K334" s="1">
        <f t="shared" si="42"/>
        <v>53783</v>
      </c>
      <c r="L334" s="8"/>
    </row>
    <row r="335" spans="1:12" x14ac:dyDescent="0.35">
      <c r="A335">
        <v>317</v>
      </c>
      <c r="B335" s="13">
        <f t="shared" si="43"/>
        <v>44196</v>
      </c>
      <c r="C335" s="13">
        <f t="shared" si="44"/>
        <v>53843</v>
      </c>
      <c r="D335" s="35" t="str">
        <f t="shared" si="45"/>
        <v>Paid Off</v>
      </c>
      <c r="E335" s="36" t="str">
        <f t="shared" si="46"/>
        <v>N/A</v>
      </c>
      <c r="F335" s="12" t="str">
        <f t="shared" si="47"/>
        <v>N/A</v>
      </c>
      <c r="G335" s="11" t="str">
        <f t="shared" si="48"/>
        <v>N/A</v>
      </c>
      <c r="H335" s="10" t="str">
        <f t="shared" si="49"/>
        <v>Paid Off</v>
      </c>
      <c r="I335" s="9">
        <f t="shared" si="40"/>
        <v>5</v>
      </c>
      <c r="J335" s="8">
        <f t="shared" si="41"/>
        <v>2047</v>
      </c>
      <c r="K335" s="1">
        <f t="shared" si="42"/>
        <v>53813</v>
      </c>
      <c r="L335" s="8"/>
    </row>
    <row r="336" spans="1:12" x14ac:dyDescent="0.35">
      <c r="A336">
        <v>318</v>
      </c>
      <c r="B336" s="13">
        <f t="shared" si="43"/>
        <v>44196</v>
      </c>
      <c r="C336" s="13">
        <f t="shared" si="44"/>
        <v>53873</v>
      </c>
      <c r="D336" s="35" t="str">
        <f t="shared" si="45"/>
        <v>Paid Off</v>
      </c>
      <c r="E336" s="36" t="str">
        <f t="shared" si="46"/>
        <v>N/A</v>
      </c>
      <c r="F336" s="12" t="str">
        <f t="shared" si="47"/>
        <v>N/A</v>
      </c>
      <c r="G336" s="11" t="str">
        <f t="shared" si="48"/>
        <v>N/A</v>
      </c>
      <c r="H336" s="10" t="str">
        <f t="shared" si="49"/>
        <v>Paid Off</v>
      </c>
      <c r="I336" s="9">
        <f t="shared" si="40"/>
        <v>6</v>
      </c>
      <c r="J336" s="8">
        <f t="shared" si="41"/>
        <v>2047</v>
      </c>
      <c r="K336" s="1">
        <f t="shared" si="42"/>
        <v>53844</v>
      </c>
      <c r="L336" s="8"/>
    </row>
    <row r="337" spans="1:12" x14ac:dyDescent="0.35">
      <c r="A337">
        <v>319</v>
      </c>
      <c r="B337" s="13">
        <f t="shared" si="43"/>
        <v>44196</v>
      </c>
      <c r="C337" s="13">
        <f t="shared" si="44"/>
        <v>53904</v>
      </c>
      <c r="D337" s="35" t="str">
        <f t="shared" si="45"/>
        <v>Paid Off</v>
      </c>
      <c r="E337" s="36" t="str">
        <f t="shared" si="46"/>
        <v>N/A</v>
      </c>
      <c r="F337" s="12" t="str">
        <f t="shared" si="47"/>
        <v>N/A</v>
      </c>
      <c r="G337" s="11" t="str">
        <f t="shared" si="48"/>
        <v>N/A</v>
      </c>
      <c r="H337" s="10" t="str">
        <f t="shared" si="49"/>
        <v>Paid Off</v>
      </c>
      <c r="I337" s="9">
        <f t="shared" si="40"/>
        <v>7</v>
      </c>
      <c r="J337" s="8">
        <f t="shared" si="41"/>
        <v>2047</v>
      </c>
      <c r="K337" s="1">
        <f t="shared" si="42"/>
        <v>53874</v>
      </c>
      <c r="L337" s="8"/>
    </row>
    <row r="338" spans="1:12" x14ac:dyDescent="0.35">
      <c r="A338">
        <v>320</v>
      </c>
      <c r="B338" s="13">
        <f t="shared" si="43"/>
        <v>44196</v>
      </c>
      <c r="C338" s="13">
        <f t="shared" si="44"/>
        <v>53935</v>
      </c>
      <c r="D338" s="35" t="str">
        <f t="shared" si="45"/>
        <v>Paid Off</v>
      </c>
      <c r="E338" s="36" t="str">
        <f t="shared" si="46"/>
        <v>N/A</v>
      </c>
      <c r="F338" s="12" t="str">
        <f t="shared" si="47"/>
        <v>N/A</v>
      </c>
      <c r="G338" s="11" t="str">
        <f t="shared" si="48"/>
        <v>N/A</v>
      </c>
      <c r="H338" s="10" t="str">
        <f t="shared" si="49"/>
        <v>Paid Off</v>
      </c>
      <c r="I338" s="9">
        <f t="shared" si="40"/>
        <v>8</v>
      </c>
      <c r="J338" s="8">
        <f t="shared" si="41"/>
        <v>2047</v>
      </c>
      <c r="K338" s="1">
        <f t="shared" si="42"/>
        <v>53905</v>
      </c>
      <c r="L338" s="8"/>
    </row>
    <row r="339" spans="1:12" x14ac:dyDescent="0.35">
      <c r="A339">
        <v>321</v>
      </c>
      <c r="B339" s="13">
        <f t="shared" si="43"/>
        <v>44196</v>
      </c>
      <c r="C339" s="13">
        <f t="shared" si="44"/>
        <v>53965</v>
      </c>
      <c r="D339" s="35" t="str">
        <f t="shared" si="45"/>
        <v>Paid Off</v>
      </c>
      <c r="E339" s="36" t="str">
        <f t="shared" si="46"/>
        <v>N/A</v>
      </c>
      <c r="F339" s="12" t="str">
        <f t="shared" si="47"/>
        <v>N/A</v>
      </c>
      <c r="G339" s="11" t="str">
        <f t="shared" si="48"/>
        <v>N/A</v>
      </c>
      <c r="H339" s="10" t="str">
        <f t="shared" si="49"/>
        <v>Paid Off</v>
      </c>
      <c r="I339" s="9">
        <f t="shared" ref="I339:I378" si="50">MONTH(C339)</f>
        <v>9</v>
      </c>
      <c r="J339" s="8">
        <f t="shared" ref="J339:J378" si="51">YEAR(C339)</f>
        <v>2047</v>
      </c>
      <c r="K339" s="1">
        <f t="shared" ref="K339:K378" si="52">DATE(J339,(I339),1)</f>
        <v>53936</v>
      </c>
      <c r="L339" s="8"/>
    </row>
    <row r="340" spans="1:12" x14ac:dyDescent="0.35">
      <c r="A340">
        <v>322</v>
      </c>
      <c r="B340" s="13">
        <f t="shared" ref="B340:B378" si="53">$D$16</f>
        <v>44196</v>
      </c>
      <c r="C340" s="13">
        <f t="shared" ref="C340:C378" si="54">EDATE(B340,A340)</f>
        <v>53996</v>
      </c>
      <c r="D340" s="35" t="str">
        <f t="shared" ref="D340:D378" si="55">IF(AND(ISNUMBER(H339), H339 &gt; $D$4), $D$4, IF(AND(ISNUMBER(H339), H339 &gt; 0), H339 + E340, "Paid Off"))</f>
        <v>Paid Off</v>
      </c>
      <c r="E340" s="36" t="str">
        <f t="shared" ref="E340:E378" si="56">IFERROR(H339 * $D$2 / 12, "N/A")</f>
        <v>N/A</v>
      </c>
      <c r="F340" s="12" t="str">
        <f t="shared" ref="F340:F378" si="57">IFERROR(D340 - E340, "N/A")</f>
        <v>N/A</v>
      </c>
      <c r="G340" s="11" t="str">
        <f t="shared" ref="G340:G378" si="58">IF(ISNUMBER(H339), IF(H339 - F340 &gt; $D$5, $D$5, IF(H339 - F340 &gt; 0, H339 - F340, 0)), "N/A")</f>
        <v>N/A</v>
      </c>
      <c r="H340" s="10" t="str">
        <f t="shared" ref="H340:H378" si="59">IFERROR(IF(H339 - F340 - G340 &gt; 0, H339 - F340 - G340, "Paid Off"), "Paid Off")</f>
        <v>Paid Off</v>
      </c>
      <c r="I340" s="9">
        <f t="shared" si="50"/>
        <v>10</v>
      </c>
      <c r="J340" s="8">
        <f t="shared" si="51"/>
        <v>2047</v>
      </c>
      <c r="K340" s="1">
        <f t="shared" si="52"/>
        <v>53966</v>
      </c>
      <c r="L340" s="8"/>
    </row>
    <row r="341" spans="1:12" x14ac:dyDescent="0.35">
      <c r="A341">
        <v>323</v>
      </c>
      <c r="B341" s="13">
        <f t="shared" si="53"/>
        <v>44196</v>
      </c>
      <c r="C341" s="13">
        <f t="shared" si="54"/>
        <v>54026</v>
      </c>
      <c r="D341" s="35" t="str">
        <f t="shared" si="55"/>
        <v>Paid Off</v>
      </c>
      <c r="E341" s="36" t="str">
        <f t="shared" si="56"/>
        <v>N/A</v>
      </c>
      <c r="F341" s="12" t="str">
        <f t="shared" si="57"/>
        <v>N/A</v>
      </c>
      <c r="G341" s="11" t="str">
        <f t="shared" si="58"/>
        <v>N/A</v>
      </c>
      <c r="H341" s="10" t="str">
        <f t="shared" si="59"/>
        <v>Paid Off</v>
      </c>
      <c r="I341" s="9">
        <f t="shared" si="50"/>
        <v>11</v>
      </c>
      <c r="J341" s="8">
        <f t="shared" si="51"/>
        <v>2047</v>
      </c>
      <c r="K341" s="1">
        <f t="shared" si="52"/>
        <v>53997</v>
      </c>
      <c r="L341" s="8"/>
    </row>
    <row r="342" spans="1:12" x14ac:dyDescent="0.35">
      <c r="A342">
        <v>324</v>
      </c>
      <c r="B342" s="13">
        <f t="shared" si="53"/>
        <v>44196</v>
      </c>
      <c r="C342" s="13">
        <f t="shared" si="54"/>
        <v>54057</v>
      </c>
      <c r="D342" s="35" t="str">
        <f t="shared" si="55"/>
        <v>Paid Off</v>
      </c>
      <c r="E342" s="36" t="str">
        <f t="shared" si="56"/>
        <v>N/A</v>
      </c>
      <c r="F342" s="12" t="str">
        <f t="shared" si="57"/>
        <v>N/A</v>
      </c>
      <c r="G342" s="11" t="str">
        <f t="shared" si="58"/>
        <v>N/A</v>
      </c>
      <c r="H342" s="10" t="str">
        <f t="shared" si="59"/>
        <v>Paid Off</v>
      </c>
      <c r="I342" s="9">
        <f t="shared" si="50"/>
        <v>12</v>
      </c>
      <c r="J342" s="8">
        <f t="shared" si="51"/>
        <v>2047</v>
      </c>
      <c r="K342" s="1">
        <f t="shared" si="52"/>
        <v>54027</v>
      </c>
      <c r="L342" s="8"/>
    </row>
    <row r="343" spans="1:12" x14ac:dyDescent="0.35">
      <c r="A343">
        <v>325</v>
      </c>
      <c r="B343" s="13">
        <f t="shared" si="53"/>
        <v>44196</v>
      </c>
      <c r="C343" s="13">
        <f t="shared" si="54"/>
        <v>54088</v>
      </c>
      <c r="D343" s="35" t="str">
        <f t="shared" si="55"/>
        <v>Paid Off</v>
      </c>
      <c r="E343" s="36" t="str">
        <f t="shared" si="56"/>
        <v>N/A</v>
      </c>
      <c r="F343" s="12" t="str">
        <f t="shared" si="57"/>
        <v>N/A</v>
      </c>
      <c r="G343" s="11" t="str">
        <f t="shared" si="58"/>
        <v>N/A</v>
      </c>
      <c r="H343" s="10" t="str">
        <f t="shared" si="59"/>
        <v>Paid Off</v>
      </c>
      <c r="I343" s="9">
        <f t="shared" si="50"/>
        <v>1</v>
      </c>
      <c r="J343" s="8">
        <f t="shared" si="51"/>
        <v>2048</v>
      </c>
      <c r="K343" s="1">
        <f t="shared" si="52"/>
        <v>54058</v>
      </c>
      <c r="L343" s="8"/>
    </row>
    <row r="344" spans="1:12" x14ac:dyDescent="0.35">
      <c r="A344">
        <v>326</v>
      </c>
      <c r="B344" s="13">
        <f t="shared" si="53"/>
        <v>44196</v>
      </c>
      <c r="C344" s="13">
        <f t="shared" si="54"/>
        <v>54117</v>
      </c>
      <c r="D344" s="35" t="str">
        <f t="shared" si="55"/>
        <v>Paid Off</v>
      </c>
      <c r="E344" s="36" t="str">
        <f t="shared" si="56"/>
        <v>N/A</v>
      </c>
      <c r="F344" s="12" t="str">
        <f t="shared" si="57"/>
        <v>N/A</v>
      </c>
      <c r="G344" s="11" t="str">
        <f t="shared" si="58"/>
        <v>N/A</v>
      </c>
      <c r="H344" s="10" t="str">
        <f t="shared" si="59"/>
        <v>Paid Off</v>
      </c>
      <c r="I344" s="9">
        <f t="shared" si="50"/>
        <v>2</v>
      </c>
      <c r="J344" s="8">
        <f t="shared" si="51"/>
        <v>2048</v>
      </c>
      <c r="K344" s="1">
        <f t="shared" si="52"/>
        <v>54089</v>
      </c>
      <c r="L344" s="8"/>
    </row>
    <row r="345" spans="1:12" x14ac:dyDescent="0.35">
      <c r="A345">
        <v>327</v>
      </c>
      <c r="B345" s="13">
        <f t="shared" si="53"/>
        <v>44196</v>
      </c>
      <c r="C345" s="13">
        <f t="shared" si="54"/>
        <v>54148</v>
      </c>
      <c r="D345" s="35" t="str">
        <f t="shared" si="55"/>
        <v>Paid Off</v>
      </c>
      <c r="E345" s="36" t="str">
        <f t="shared" si="56"/>
        <v>N/A</v>
      </c>
      <c r="F345" s="12" t="str">
        <f t="shared" si="57"/>
        <v>N/A</v>
      </c>
      <c r="G345" s="11" t="str">
        <f t="shared" si="58"/>
        <v>N/A</v>
      </c>
      <c r="H345" s="10" t="str">
        <f t="shared" si="59"/>
        <v>Paid Off</v>
      </c>
      <c r="I345" s="9">
        <f t="shared" si="50"/>
        <v>3</v>
      </c>
      <c r="J345" s="8">
        <f t="shared" si="51"/>
        <v>2048</v>
      </c>
      <c r="K345" s="1">
        <f t="shared" si="52"/>
        <v>54118</v>
      </c>
      <c r="L345" s="8"/>
    </row>
    <row r="346" spans="1:12" x14ac:dyDescent="0.35">
      <c r="A346">
        <v>328</v>
      </c>
      <c r="B346" s="13">
        <f t="shared" si="53"/>
        <v>44196</v>
      </c>
      <c r="C346" s="13">
        <f t="shared" si="54"/>
        <v>54178</v>
      </c>
      <c r="D346" s="35" t="str">
        <f t="shared" si="55"/>
        <v>Paid Off</v>
      </c>
      <c r="E346" s="36" t="str">
        <f t="shared" si="56"/>
        <v>N/A</v>
      </c>
      <c r="F346" s="12" t="str">
        <f t="shared" si="57"/>
        <v>N/A</v>
      </c>
      <c r="G346" s="11" t="str">
        <f t="shared" si="58"/>
        <v>N/A</v>
      </c>
      <c r="H346" s="10" t="str">
        <f t="shared" si="59"/>
        <v>Paid Off</v>
      </c>
      <c r="I346" s="9">
        <f t="shared" si="50"/>
        <v>4</v>
      </c>
      <c r="J346" s="8">
        <f t="shared" si="51"/>
        <v>2048</v>
      </c>
      <c r="K346" s="1">
        <f t="shared" si="52"/>
        <v>54149</v>
      </c>
      <c r="L346" s="8"/>
    </row>
    <row r="347" spans="1:12" x14ac:dyDescent="0.35">
      <c r="A347">
        <v>329</v>
      </c>
      <c r="B347" s="13">
        <f t="shared" si="53"/>
        <v>44196</v>
      </c>
      <c r="C347" s="13">
        <f t="shared" si="54"/>
        <v>54209</v>
      </c>
      <c r="D347" s="35" t="str">
        <f t="shared" si="55"/>
        <v>Paid Off</v>
      </c>
      <c r="E347" s="36" t="str">
        <f t="shared" si="56"/>
        <v>N/A</v>
      </c>
      <c r="F347" s="12" t="str">
        <f t="shared" si="57"/>
        <v>N/A</v>
      </c>
      <c r="G347" s="11" t="str">
        <f t="shared" si="58"/>
        <v>N/A</v>
      </c>
      <c r="H347" s="10" t="str">
        <f t="shared" si="59"/>
        <v>Paid Off</v>
      </c>
      <c r="I347" s="9">
        <f t="shared" si="50"/>
        <v>5</v>
      </c>
      <c r="J347" s="8">
        <f t="shared" si="51"/>
        <v>2048</v>
      </c>
      <c r="K347" s="1">
        <f t="shared" si="52"/>
        <v>54179</v>
      </c>
      <c r="L347" s="8"/>
    </row>
    <row r="348" spans="1:12" x14ac:dyDescent="0.35">
      <c r="A348">
        <v>330</v>
      </c>
      <c r="B348" s="13">
        <f t="shared" si="53"/>
        <v>44196</v>
      </c>
      <c r="C348" s="13">
        <f t="shared" si="54"/>
        <v>54239</v>
      </c>
      <c r="D348" s="35" t="str">
        <f t="shared" si="55"/>
        <v>Paid Off</v>
      </c>
      <c r="E348" s="36" t="str">
        <f t="shared" si="56"/>
        <v>N/A</v>
      </c>
      <c r="F348" s="12" t="str">
        <f t="shared" si="57"/>
        <v>N/A</v>
      </c>
      <c r="G348" s="11" t="str">
        <f t="shared" si="58"/>
        <v>N/A</v>
      </c>
      <c r="H348" s="10" t="str">
        <f t="shared" si="59"/>
        <v>Paid Off</v>
      </c>
      <c r="I348" s="9">
        <f t="shared" si="50"/>
        <v>6</v>
      </c>
      <c r="J348" s="8">
        <f t="shared" si="51"/>
        <v>2048</v>
      </c>
      <c r="K348" s="1">
        <f t="shared" si="52"/>
        <v>54210</v>
      </c>
      <c r="L348" s="8"/>
    </row>
    <row r="349" spans="1:12" x14ac:dyDescent="0.35">
      <c r="A349">
        <v>331</v>
      </c>
      <c r="B349" s="13">
        <f t="shared" si="53"/>
        <v>44196</v>
      </c>
      <c r="C349" s="13">
        <f t="shared" si="54"/>
        <v>54270</v>
      </c>
      <c r="D349" s="35" t="str">
        <f t="shared" si="55"/>
        <v>Paid Off</v>
      </c>
      <c r="E349" s="36" t="str">
        <f t="shared" si="56"/>
        <v>N/A</v>
      </c>
      <c r="F349" s="12" t="str">
        <f t="shared" si="57"/>
        <v>N/A</v>
      </c>
      <c r="G349" s="11" t="str">
        <f t="shared" si="58"/>
        <v>N/A</v>
      </c>
      <c r="H349" s="10" t="str">
        <f t="shared" si="59"/>
        <v>Paid Off</v>
      </c>
      <c r="I349" s="9">
        <f t="shared" si="50"/>
        <v>7</v>
      </c>
      <c r="J349" s="8">
        <f t="shared" si="51"/>
        <v>2048</v>
      </c>
      <c r="K349" s="1">
        <f t="shared" si="52"/>
        <v>54240</v>
      </c>
      <c r="L349" s="8"/>
    </row>
    <row r="350" spans="1:12" x14ac:dyDescent="0.35">
      <c r="A350">
        <v>332</v>
      </c>
      <c r="B350" s="13">
        <f t="shared" si="53"/>
        <v>44196</v>
      </c>
      <c r="C350" s="13">
        <f t="shared" si="54"/>
        <v>54301</v>
      </c>
      <c r="D350" s="35" t="str">
        <f t="shared" si="55"/>
        <v>Paid Off</v>
      </c>
      <c r="E350" s="36" t="str">
        <f t="shared" si="56"/>
        <v>N/A</v>
      </c>
      <c r="F350" s="12" t="str">
        <f t="shared" si="57"/>
        <v>N/A</v>
      </c>
      <c r="G350" s="11" t="str">
        <f t="shared" si="58"/>
        <v>N/A</v>
      </c>
      <c r="H350" s="10" t="str">
        <f t="shared" si="59"/>
        <v>Paid Off</v>
      </c>
      <c r="I350" s="9">
        <f t="shared" si="50"/>
        <v>8</v>
      </c>
      <c r="J350" s="8">
        <f t="shared" si="51"/>
        <v>2048</v>
      </c>
      <c r="K350" s="1">
        <f t="shared" si="52"/>
        <v>54271</v>
      </c>
      <c r="L350" s="8"/>
    </row>
    <row r="351" spans="1:12" x14ac:dyDescent="0.35">
      <c r="A351">
        <v>333</v>
      </c>
      <c r="B351" s="13">
        <f t="shared" si="53"/>
        <v>44196</v>
      </c>
      <c r="C351" s="13">
        <f t="shared" si="54"/>
        <v>54331</v>
      </c>
      <c r="D351" s="35" t="str">
        <f t="shared" si="55"/>
        <v>Paid Off</v>
      </c>
      <c r="E351" s="36" t="str">
        <f t="shared" si="56"/>
        <v>N/A</v>
      </c>
      <c r="F351" s="12" t="str">
        <f t="shared" si="57"/>
        <v>N/A</v>
      </c>
      <c r="G351" s="11" t="str">
        <f t="shared" si="58"/>
        <v>N/A</v>
      </c>
      <c r="H351" s="10" t="str">
        <f t="shared" si="59"/>
        <v>Paid Off</v>
      </c>
      <c r="I351" s="9">
        <f t="shared" si="50"/>
        <v>9</v>
      </c>
      <c r="J351" s="8">
        <f t="shared" si="51"/>
        <v>2048</v>
      </c>
      <c r="K351" s="1">
        <f t="shared" si="52"/>
        <v>54302</v>
      </c>
      <c r="L351" s="8"/>
    </row>
    <row r="352" spans="1:12" x14ac:dyDescent="0.35">
      <c r="A352">
        <v>334</v>
      </c>
      <c r="B352" s="13">
        <f t="shared" si="53"/>
        <v>44196</v>
      </c>
      <c r="C352" s="13">
        <f t="shared" si="54"/>
        <v>54362</v>
      </c>
      <c r="D352" s="35" t="str">
        <f t="shared" si="55"/>
        <v>Paid Off</v>
      </c>
      <c r="E352" s="36" t="str">
        <f t="shared" si="56"/>
        <v>N/A</v>
      </c>
      <c r="F352" s="12" t="str">
        <f t="shared" si="57"/>
        <v>N/A</v>
      </c>
      <c r="G352" s="11" t="str">
        <f t="shared" si="58"/>
        <v>N/A</v>
      </c>
      <c r="H352" s="10" t="str">
        <f t="shared" si="59"/>
        <v>Paid Off</v>
      </c>
      <c r="I352" s="9">
        <f t="shared" si="50"/>
        <v>10</v>
      </c>
      <c r="J352" s="8">
        <f t="shared" si="51"/>
        <v>2048</v>
      </c>
      <c r="K352" s="1">
        <f t="shared" si="52"/>
        <v>54332</v>
      </c>
      <c r="L352" s="8"/>
    </row>
    <row r="353" spans="1:12" x14ac:dyDescent="0.35">
      <c r="A353">
        <v>335</v>
      </c>
      <c r="B353" s="13">
        <f t="shared" si="53"/>
        <v>44196</v>
      </c>
      <c r="C353" s="13">
        <f t="shared" si="54"/>
        <v>54392</v>
      </c>
      <c r="D353" s="35" t="str">
        <f t="shared" si="55"/>
        <v>Paid Off</v>
      </c>
      <c r="E353" s="36" t="str">
        <f t="shared" si="56"/>
        <v>N/A</v>
      </c>
      <c r="F353" s="12" t="str">
        <f t="shared" si="57"/>
        <v>N/A</v>
      </c>
      <c r="G353" s="11" t="str">
        <f t="shared" si="58"/>
        <v>N/A</v>
      </c>
      <c r="H353" s="10" t="str">
        <f t="shared" si="59"/>
        <v>Paid Off</v>
      </c>
      <c r="I353" s="9">
        <f t="shared" si="50"/>
        <v>11</v>
      </c>
      <c r="J353" s="8">
        <f t="shared" si="51"/>
        <v>2048</v>
      </c>
      <c r="K353" s="1">
        <f t="shared" si="52"/>
        <v>54363</v>
      </c>
      <c r="L353" s="8"/>
    </row>
    <row r="354" spans="1:12" x14ac:dyDescent="0.35">
      <c r="A354">
        <v>336</v>
      </c>
      <c r="B354" s="13">
        <f t="shared" si="53"/>
        <v>44196</v>
      </c>
      <c r="C354" s="13">
        <f t="shared" si="54"/>
        <v>54423</v>
      </c>
      <c r="D354" s="35" t="str">
        <f t="shared" si="55"/>
        <v>Paid Off</v>
      </c>
      <c r="E354" s="36" t="str">
        <f t="shared" si="56"/>
        <v>N/A</v>
      </c>
      <c r="F354" s="12" t="str">
        <f t="shared" si="57"/>
        <v>N/A</v>
      </c>
      <c r="G354" s="11" t="str">
        <f t="shared" si="58"/>
        <v>N/A</v>
      </c>
      <c r="H354" s="10" t="str">
        <f t="shared" si="59"/>
        <v>Paid Off</v>
      </c>
      <c r="I354" s="9">
        <f t="shared" si="50"/>
        <v>12</v>
      </c>
      <c r="J354" s="8">
        <f t="shared" si="51"/>
        <v>2048</v>
      </c>
      <c r="K354" s="1">
        <f t="shared" si="52"/>
        <v>54393</v>
      </c>
      <c r="L354" s="8"/>
    </row>
    <row r="355" spans="1:12" x14ac:dyDescent="0.35">
      <c r="A355">
        <v>337</v>
      </c>
      <c r="B355" s="13">
        <f t="shared" si="53"/>
        <v>44196</v>
      </c>
      <c r="C355" s="13">
        <f t="shared" si="54"/>
        <v>54454</v>
      </c>
      <c r="D355" s="35" t="str">
        <f t="shared" si="55"/>
        <v>Paid Off</v>
      </c>
      <c r="E355" s="36" t="str">
        <f t="shared" si="56"/>
        <v>N/A</v>
      </c>
      <c r="F355" s="12" t="str">
        <f t="shared" si="57"/>
        <v>N/A</v>
      </c>
      <c r="G355" s="11" t="str">
        <f t="shared" si="58"/>
        <v>N/A</v>
      </c>
      <c r="H355" s="10" t="str">
        <f t="shared" si="59"/>
        <v>Paid Off</v>
      </c>
      <c r="I355" s="9">
        <f t="shared" si="50"/>
        <v>1</v>
      </c>
      <c r="J355" s="8">
        <f t="shared" si="51"/>
        <v>2049</v>
      </c>
      <c r="K355" s="1">
        <f t="shared" si="52"/>
        <v>54424</v>
      </c>
      <c r="L355" s="8"/>
    </row>
    <row r="356" spans="1:12" x14ac:dyDescent="0.35">
      <c r="A356">
        <v>338</v>
      </c>
      <c r="B356" s="13">
        <f t="shared" si="53"/>
        <v>44196</v>
      </c>
      <c r="C356" s="13">
        <f t="shared" si="54"/>
        <v>54482</v>
      </c>
      <c r="D356" s="35" t="str">
        <f t="shared" si="55"/>
        <v>Paid Off</v>
      </c>
      <c r="E356" s="36" t="str">
        <f t="shared" si="56"/>
        <v>N/A</v>
      </c>
      <c r="F356" s="12" t="str">
        <f t="shared" si="57"/>
        <v>N/A</v>
      </c>
      <c r="G356" s="11" t="str">
        <f t="shared" si="58"/>
        <v>N/A</v>
      </c>
      <c r="H356" s="10" t="str">
        <f t="shared" si="59"/>
        <v>Paid Off</v>
      </c>
      <c r="I356" s="9">
        <f t="shared" si="50"/>
        <v>2</v>
      </c>
      <c r="J356" s="8">
        <f t="shared" si="51"/>
        <v>2049</v>
      </c>
      <c r="K356" s="1">
        <f t="shared" si="52"/>
        <v>54455</v>
      </c>
      <c r="L356" s="8"/>
    </row>
    <row r="357" spans="1:12" x14ac:dyDescent="0.35">
      <c r="A357">
        <v>339</v>
      </c>
      <c r="B357" s="13">
        <f t="shared" si="53"/>
        <v>44196</v>
      </c>
      <c r="C357" s="13">
        <f t="shared" si="54"/>
        <v>54513</v>
      </c>
      <c r="D357" s="35" t="str">
        <f t="shared" si="55"/>
        <v>Paid Off</v>
      </c>
      <c r="E357" s="36" t="str">
        <f t="shared" si="56"/>
        <v>N/A</v>
      </c>
      <c r="F357" s="12" t="str">
        <f t="shared" si="57"/>
        <v>N/A</v>
      </c>
      <c r="G357" s="11" t="str">
        <f t="shared" si="58"/>
        <v>N/A</v>
      </c>
      <c r="H357" s="10" t="str">
        <f t="shared" si="59"/>
        <v>Paid Off</v>
      </c>
      <c r="I357" s="9">
        <f t="shared" si="50"/>
        <v>3</v>
      </c>
      <c r="J357" s="8">
        <f t="shared" si="51"/>
        <v>2049</v>
      </c>
      <c r="K357" s="1">
        <f t="shared" si="52"/>
        <v>54483</v>
      </c>
      <c r="L357" s="8"/>
    </row>
    <row r="358" spans="1:12" x14ac:dyDescent="0.35">
      <c r="A358">
        <v>340</v>
      </c>
      <c r="B358" s="13">
        <f t="shared" si="53"/>
        <v>44196</v>
      </c>
      <c r="C358" s="13">
        <f t="shared" si="54"/>
        <v>54543</v>
      </c>
      <c r="D358" s="35" t="str">
        <f t="shared" si="55"/>
        <v>Paid Off</v>
      </c>
      <c r="E358" s="36" t="str">
        <f t="shared" si="56"/>
        <v>N/A</v>
      </c>
      <c r="F358" s="12" t="str">
        <f t="shared" si="57"/>
        <v>N/A</v>
      </c>
      <c r="G358" s="11" t="str">
        <f t="shared" si="58"/>
        <v>N/A</v>
      </c>
      <c r="H358" s="10" t="str">
        <f t="shared" si="59"/>
        <v>Paid Off</v>
      </c>
      <c r="I358" s="9">
        <f t="shared" si="50"/>
        <v>4</v>
      </c>
      <c r="J358" s="8">
        <f t="shared" si="51"/>
        <v>2049</v>
      </c>
      <c r="K358" s="1">
        <f t="shared" si="52"/>
        <v>54514</v>
      </c>
      <c r="L358" s="8"/>
    </row>
    <row r="359" spans="1:12" x14ac:dyDescent="0.35">
      <c r="A359">
        <v>341</v>
      </c>
      <c r="B359" s="13">
        <f t="shared" si="53"/>
        <v>44196</v>
      </c>
      <c r="C359" s="13">
        <f t="shared" si="54"/>
        <v>54574</v>
      </c>
      <c r="D359" s="35" t="str">
        <f t="shared" si="55"/>
        <v>Paid Off</v>
      </c>
      <c r="E359" s="36" t="str">
        <f t="shared" si="56"/>
        <v>N/A</v>
      </c>
      <c r="F359" s="12" t="str">
        <f t="shared" si="57"/>
        <v>N/A</v>
      </c>
      <c r="G359" s="11" t="str">
        <f t="shared" si="58"/>
        <v>N/A</v>
      </c>
      <c r="H359" s="10" t="str">
        <f t="shared" si="59"/>
        <v>Paid Off</v>
      </c>
      <c r="I359" s="9">
        <f t="shared" si="50"/>
        <v>5</v>
      </c>
      <c r="J359" s="8">
        <f t="shared" si="51"/>
        <v>2049</v>
      </c>
      <c r="K359" s="1">
        <f t="shared" si="52"/>
        <v>54544</v>
      </c>
      <c r="L359" s="8"/>
    </row>
    <row r="360" spans="1:12" x14ac:dyDescent="0.35">
      <c r="A360">
        <v>342</v>
      </c>
      <c r="B360" s="13">
        <f t="shared" si="53"/>
        <v>44196</v>
      </c>
      <c r="C360" s="13">
        <f t="shared" si="54"/>
        <v>54604</v>
      </c>
      <c r="D360" s="35" t="str">
        <f t="shared" si="55"/>
        <v>Paid Off</v>
      </c>
      <c r="E360" s="36" t="str">
        <f t="shared" si="56"/>
        <v>N/A</v>
      </c>
      <c r="F360" s="12" t="str">
        <f t="shared" si="57"/>
        <v>N/A</v>
      </c>
      <c r="G360" s="11" t="str">
        <f t="shared" si="58"/>
        <v>N/A</v>
      </c>
      <c r="H360" s="10" t="str">
        <f t="shared" si="59"/>
        <v>Paid Off</v>
      </c>
      <c r="I360" s="9">
        <f t="shared" si="50"/>
        <v>6</v>
      </c>
      <c r="J360" s="8">
        <f t="shared" si="51"/>
        <v>2049</v>
      </c>
      <c r="K360" s="1">
        <f t="shared" si="52"/>
        <v>54575</v>
      </c>
      <c r="L360" s="8"/>
    </row>
    <row r="361" spans="1:12" x14ac:dyDescent="0.35">
      <c r="A361">
        <v>343</v>
      </c>
      <c r="B361" s="13">
        <f t="shared" si="53"/>
        <v>44196</v>
      </c>
      <c r="C361" s="13">
        <f t="shared" si="54"/>
        <v>54635</v>
      </c>
      <c r="D361" s="35" t="str">
        <f t="shared" si="55"/>
        <v>Paid Off</v>
      </c>
      <c r="E361" s="36" t="str">
        <f t="shared" si="56"/>
        <v>N/A</v>
      </c>
      <c r="F361" s="12" t="str">
        <f t="shared" si="57"/>
        <v>N/A</v>
      </c>
      <c r="G361" s="11" t="str">
        <f t="shared" si="58"/>
        <v>N/A</v>
      </c>
      <c r="H361" s="10" t="str">
        <f t="shared" si="59"/>
        <v>Paid Off</v>
      </c>
      <c r="I361" s="9">
        <f t="shared" si="50"/>
        <v>7</v>
      </c>
      <c r="J361" s="8">
        <f t="shared" si="51"/>
        <v>2049</v>
      </c>
      <c r="K361" s="1">
        <f t="shared" si="52"/>
        <v>54605</v>
      </c>
      <c r="L361" s="8"/>
    </row>
    <row r="362" spans="1:12" x14ac:dyDescent="0.35">
      <c r="A362">
        <v>344</v>
      </c>
      <c r="B362" s="13">
        <f t="shared" si="53"/>
        <v>44196</v>
      </c>
      <c r="C362" s="13">
        <f t="shared" si="54"/>
        <v>54666</v>
      </c>
      <c r="D362" s="35" t="str">
        <f t="shared" si="55"/>
        <v>Paid Off</v>
      </c>
      <c r="E362" s="36" t="str">
        <f t="shared" si="56"/>
        <v>N/A</v>
      </c>
      <c r="F362" s="12" t="str">
        <f t="shared" si="57"/>
        <v>N/A</v>
      </c>
      <c r="G362" s="11" t="str">
        <f t="shared" si="58"/>
        <v>N/A</v>
      </c>
      <c r="H362" s="10" t="str">
        <f t="shared" si="59"/>
        <v>Paid Off</v>
      </c>
      <c r="I362" s="9">
        <f t="shared" si="50"/>
        <v>8</v>
      </c>
      <c r="J362" s="8">
        <f t="shared" si="51"/>
        <v>2049</v>
      </c>
      <c r="K362" s="1">
        <f t="shared" si="52"/>
        <v>54636</v>
      </c>
      <c r="L362" s="8"/>
    </row>
    <row r="363" spans="1:12" x14ac:dyDescent="0.35">
      <c r="A363">
        <v>345</v>
      </c>
      <c r="B363" s="13">
        <f t="shared" si="53"/>
        <v>44196</v>
      </c>
      <c r="C363" s="13">
        <f t="shared" si="54"/>
        <v>54696</v>
      </c>
      <c r="D363" s="35" t="str">
        <f t="shared" si="55"/>
        <v>Paid Off</v>
      </c>
      <c r="E363" s="36" t="str">
        <f t="shared" si="56"/>
        <v>N/A</v>
      </c>
      <c r="F363" s="12" t="str">
        <f t="shared" si="57"/>
        <v>N/A</v>
      </c>
      <c r="G363" s="11" t="str">
        <f t="shared" si="58"/>
        <v>N/A</v>
      </c>
      <c r="H363" s="10" t="str">
        <f t="shared" si="59"/>
        <v>Paid Off</v>
      </c>
      <c r="I363" s="9">
        <f t="shared" si="50"/>
        <v>9</v>
      </c>
      <c r="J363" s="8">
        <f t="shared" si="51"/>
        <v>2049</v>
      </c>
      <c r="K363" s="1">
        <f t="shared" si="52"/>
        <v>54667</v>
      </c>
      <c r="L363" s="8"/>
    </row>
    <row r="364" spans="1:12" x14ac:dyDescent="0.35">
      <c r="A364">
        <v>346</v>
      </c>
      <c r="B364" s="13">
        <f t="shared" si="53"/>
        <v>44196</v>
      </c>
      <c r="C364" s="13">
        <f t="shared" si="54"/>
        <v>54727</v>
      </c>
      <c r="D364" s="35" t="str">
        <f t="shared" si="55"/>
        <v>Paid Off</v>
      </c>
      <c r="E364" s="36" t="str">
        <f t="shared" si="56"/>
        <v>N/A</v>
      </c>
      <c r="F364" s="12" t="str">
        <f t="shared" si="57"/>
        <v>N/A</v>
      </c>
      <c r="G364" s="11" t="str">
        <f t="shared" si="58"/>
        <v>N/A</v>
      </c>
      <c r="H364" s="10" t="str">
        <f t="shared" si="59"/>
        <v>Paid Off</v>
      </c>
      <c r="I364" s="9">
        <f t="shared" si="50"/>
        <v>10</v>
      </c>
      <c r="J364" s="8">
        <f t="shared" si="51"/>
        <v>2049</v>
      </c>
      <c r="K364" s="1">
        <f t="shared" si="52"/>
        <v>54697</v>
      </c>
      <c r="L364" s="8"/>
    </row>
    <row r="365" spans="1:12" x14ac:dyDescent="0.35">
      <c r="A365">
        <v>347</v>
      </c>
      <c r="B365" s="13">
        <f t="shared" si="53"/>
        <v>44196</v>
      </c>
      <c r="C365" s="13">
        <f t="shared" si="54"/>
        <v>54757</v>
      </c>
      <c r="D365" s="35" t="str">
        <f t="shared" si="55"/>
        <v>Paid Off</v>
      </c>
      <c r="E365" s="36" t="str">
        <f t="shared" si="56"/>
        <v>N/A</v>
      </c>
      <c r="F365" s="12" t="str">
        <f t="shared" si="57"/>
        <v>N/A</v>
      </c>
      <c r="G365" s="11" t="str">
        <f t="shared" si="58"/>
        <v>N/A</v>
      </c>
      <c r="H365" s="10" t="str">
        <f t="shared" si="59"/>
        <v>Paid Off</v>
      </c>
      <c r="I365" s="9">
        <f t="shared" si="50"/>
        <v>11</v>
      </c>
      <c r="J365" s="8">
        <f t="shared" si="51"/>
        <v>2049</v>
      </c>
      <c r="K365" s="1">
        <f t="shared" si="52"/>
        <v>54728</v>
      </c>
      <c r="L365" s="8"/>
    </row>
    <row r="366" spans="1:12" x14ac:dyDescent="0.35">
      <c r="A366">
        <v>348</v>
      </c>
      <c r="B366" s="13">
        <f t="shared" si="53"/>
        <v>44196</v>
      </c>
      <c r="C366" s="13">
        <f t="shared" si="54"/>
        <v>54788</v>
      </c>
      <c r="D366" s="35" t="str">
        <f t="shared" si="55"/>
        <v>Paid Off</v>
      </c>
      <c r="E366" s="36" t="str">
        <f t="shared" si="56"/>
        <v>N/A</v>
      </c>
      <c r="F366" s="12" t="str">
        <f t="shared" si="57"/>
        <v>N/A</v>
      </c>
      <c r="G366" s="11" t="str">
        <f t="shared" si="58"/>
        <v>N/A</v>
      </c>
      <c r="H366" s="10" t="str">
        <f t="shared" si="59"/>
        <v>Paid Off</v>
      </c>
      <c r="I366" s="9">
        <f t="shared" si="50"/>
        <v>12</v>
      </c>
      <c r="J366" s="8">
        <f t="shared" si="51"/>
        <v>2049</v>
      </c>
      <c r="K366" s="1">
        <f t="shared" si="52"/>
        <v>54758</v>
      </c>
      <c r="L366" s="8"/>
    </row>
    <row r="367" spans="1:12" x14ac:dyDescent="0.35">
      <c r="A367">
        <v>349</v>
      </c>
      <c r="B367" s="13">
        <f t="shared" si="53"/>
        <v>44196</v>
      </c>
      <c r="C367" s="13">
        <f t="shared" si="54"/>
        <v>54819</v>
      </c>
      <c r="D367" s="35" t="str">
        <f t="shared" si="55"/>
        <v>Paid Off</v>
      </c>
      <c r="E367" s="36" t="str">
        <f t="shared" si="56"/>
        <v>N/A</v>
      </c>
      <c r="F367" s="12" t="str">
        <f t="shared" si="57"/>
        <v>N/A</v>
      </c>
      <c r="G367" s="11" t="str">
        <f t="shared" si="58"/>
        <v>N/A</v>
      </c>
      <c r="H367" s="10" t="str">
        <f t="shared" si="59"/>
        <v>Paid Off</v>
      </c>
      <c r="I367" s="9">
        <f t="shared" si="50"/>
        <v>1</v>
      </c>
      <c r="J367" s="8">
        <f t="shared" si="51"/>
        <v>2050</v>
      </c>
      <c r="K367" s="1">
        <f t="shared" si="52"/>
        <v>54789</v>
      </c>
      <c r="L367" s="8"/>
    </row>
    <row r="368" spans="1:12" x14ac:dyDescent="0.35">
      <c r="A368">
        <v>350</v>
      </c>
      <c r="B368" s="13">
        <f t="shared" si="53"/>
        <v>44196</v>
      </c>
      <c r="C368" s="13">
        <f t="shared" si="54"/>
        <v>54847</v>
      </c>
      <c r="D368" s="35" t="str">
        <f t="shared" si="55"/>
        <v>Paid Off</v>
      </c>
      <c r="E368" s="36" t="str">
        <f t="shared" si="56"/>
        <v>N/A</v>
      </c>
      <c r="F368" s="12" t="str">
        <f t="shared" si="57"/>
        <v>N/A</v>
      </c>
      <c r="G368" s="11" t="str">
        <f t="shared" si="58"/>
        <v>N/A</v>
      </c>
      <c r="H368" s="10" t="str">
        <f t="shared" si="59"/>
        <v>Paid Off</v>
      </c>
      <c r="I368" s="9">
        <f t="shared" si="50"/>
        <v>2</v>
      </c>
      <c r="J368" s="8">
        <f t="shared" si="51"/>
        <v>2050</v>
      </c>
      <c r="K368" s="1">
        <f t="shared" si="52"/>
        <v>54820</v>
      </c>
      <c r="L368" s="8"/>
    </row>
    <row r="369" spans="1:12" x14ac:dyDescent="0.35">
      <c r="A369">
        <v>351</v>
      </c>
      <c r="B369" s="13">
        <f t="shared" si="53"/>
        <v>44196</v>
      </c>
      <c r="C369" s="13">
        <f t="shared" si="54"/>
        <v>54878</v>
      </c>
      <c r="D369" s="35" t="str">
        <f t="shared" si="55"/>
        <v>Paid Off</v>
      </c>
      <c r="E369" s="36" t="str">
        <f t="shared" si="56"/>
        <v>N/A</v>
      </c>
      <c r="F369" s="12" t="str">
        <f t="shared" si="57"/>
        <v>N/A</v>
      </c>
      <c r="G369" s="11" t="str">
        <f t="shared" si="58"/>
        <v>N/A</v>
      </c>
      <c r="H369" s="10" t="str">
        <f t="shared" si="59"/>
        <v>Paid Off</v>
      </c>
      <c r="I369" s="9">
        <f t="shared" si="50"/>
        <v>3</v>
      </c>
      <c r="J369" s="8">
        <f t="shared" si="51"/>
        <v>2050</v>
      </c>
      <c r="K369" s="1">
        <f t="shared" si="52"/>
        <v>54848</v>
      </c>
      <c r="L369" s="8"/>
    </row>
    <row r="370" spans="1:12" x14ac:dyDescent="0.35">
      <c r="A370">
        <v>352</v>
      </c>
      <c r="B370" s="13">
        <f t="shared" si="53"/>
        <v>44196</v>
      </c>
      <c r="C370" s="13">
        <f t="shared" si="54"/>
        <v>54908</v>
      </c>
      <c r="D370" s="35" t="str">
        <f t="shared" si="55"/>
        <v>Paid Off</v>
      </c>
      <c r="E370" s="36" t="str">
        <f t="shared" si="56"/>
        <v>N/A</v>
      </c>
      <c r="F370" s="12" t="str">
        <f t="shared" si="57"/>
        <v>N/A</v>
      </c>
      <c r="G370" s="11" t="str">
        <f t="shared" si="58"/>
        <v>N/A</v>
      </c>
      <c r="H370" s="10" t="str">
        <f t="shared" si="59"/>
        <v>Paid Off</v>
      </c>
      <c r="I370" s="9">
        <f t="shared" si="50"/>
        <v>4</v>
      </c>
      <c r="J370" s="8">
        <f t="shared" si="51"/>
        <v>2050</v>
      </c>
      <c r="K370" s="1">
        <f t="shared" si="52"/>
        <v>54879</v>
      </c>
      <c r="L370" s="8"/>
    </row>
    <row r="371" spans="1:12" x14ac:dyDescent="0.35">
      <c r="A371">
        <v>353</v>
      </c>
      <c r="B371" s="13">
        <f t="shared" si="53"/>
        <v>44196</v>
      </c>
      <c r="C371" s="13">
        <f t="shared" si="54"/>
        <v>54939</v>
      </c>
      <c r="D371" s="35" t="str">
        <f t="shared" si="55"/>
        <v>Paid Off</v>
      </c>
      <c r="E371" s="36" t="str">
        <f t="shared" si="56"/>
        <v>N/A</v>
      </c>
      <c r="F371" s="12" t="str">
        <f t="shared" si="57"/>
        <v>N/A</v>
      </c>
      <c r="G371" s="11" t="str">
        <f t="shared" si="58"/>
        <v>N/A</v>
      </c>
      <c r="H371" s="10" t="str">
        <f t="shared" si="59"/>
        <v>Paid Off</v>
      </c>
      <c r="I371" s="9">
        <f t="shared" si="50"/>
        <v>5</v>
      </c>
      <c r="J371" s="8">
        <f t="shared" si="51"/>
        <v>2050</v>
      </c>
      <c r="K371" s="1">
        <f t="shared" si="52"/>
        <v>54909</v>
      </c>
      <c r="L371" s="8"/>
    </row>
    <row r="372" spans="1:12" x14ac:dyDescent="0.35">
      <c r="A372">
        <v>354</v>
      </c>
      <c r="B372" s="13">
        <f t="shared" si="53"/>
        <v>44196</v>
      </c>
      <c r="C372" s="13">
        <f t="shared" si="54"/>
        <v>54969</v>
      </c>
      <c r="D372" s="35" t="str">
        <f t="shared" si="55"/>
        <v>Paid Off</v>
      </c>
      <c r="E372" s="36" t="str">
        <f t="shared" si="56"/>
        <v>N/A</v>
      </c>
      <c r="F372" s="12" t="str">
        <f t="shared" si="57"/>
        <v>N/A</v>
      </c>
      <c r="G372" s="11" t="str">
        <f t="shared" si="58"/>
        <v>N/A</v>
      </c>
      <c r="H372" s="10" t="str">
        <f t="shared" si="59"/>
        <v>Paid Off</v>
      </c>
      <c r="I372" s="9">
        <f t="shared" si="50"/>
        <v>6</v>
      </c>
      <c r="J372" s="8">
        <f t="shared" si="51"/>
        <v>2050</v>
      </c>
      <c r="K372" s="1">
        <f t="shared" si="52"/>
        <v>54940</v>
      </c>
      <c r="L372" s="8"/>
    </row>
    <row r="373" spans="1:12" x14ac:dyDescent="0.35">
      <c r="A373">
        <v>355</v>
      </c>
      <c r="B373" s="13">
        <f t="shared" si="53"/>
        <v>44196</v>
      </c>
      <c r="C373" s="13">
        <f t="shared" si="54"/>
        <v>55000</v>
      </c>
      <c r="D373" s="35" t="str">
        <f t="shared" si="55"/>
        <v>Paid Off</v>
      </c>
      <c r="E373" s="36" t="str">
        <f t="shared" si="56"/>
        <v>N/A</v>
      </c>
      <c r="F373" s="12" t="str">
        <f t="shared" si="57"/>
        <v>N/A</v>
      </c>
      <c r="G373" s="11" t="str">
        <f t="shared" si="58"/>
        <v>N/A</v>
      </c>
      <c r="H373" s="10" t="str">
        <f t="shared" si="59"/>
        <v>Paid Off</v>
      </c>
      <c r="I373" s="9">
        <f t="shared" si="50"/>
        <v>7</v>
      </c>
      <c r="J373" s="8">
        <f t="shared" si="51"/>
        <v>2050</v>
      </c>
      <c r="K373" s="1">
        <f t="shared" si="52"/>
        <v>54970</v>
      </c>
      <c r="L373" s="8"/>
    </row>
    <row r="374" spans="1:12" x14ac:dyDescent="0.35">
      <c r="A374">
        <v>356</v>
      </c>
      <c r="B374" s="13">
        <f t="shared" si="53"/>
        <v>44196</v>
      </c>
      <c r="C374" s="13">
        <f t="shared" si="54"/>
        <v>55031</v>
      </c>
      <c r="D374" s="35" t="str">
        <f t="shared" si="55"/>
        <v>Paid Off</v>
      </c>
      <c r="E374" s="36" t="str">
        <f t="shared" si="56"/>
        <v>N/A</v>
      </c>
      <c r="F374" s="12" t="str">
        <f t="shared" si="57"/>
        <v>N/A</v>
      </c>
      <c r="G374" s="11" t="str">
        <f t="shared" si="58"/>
        <v>N/A</v>
      </c>
      <c r="H374" s="10" t="str">
        <f t="shared" si="59"/>
        <v>Paid Off</v>
      </c>
      <c r="I374" s="9">
        <f t="shared" si="50"/>
        <v>8</v>
      </c>
      <c r="J374" s="8">
        <f t="shared" si="51"/>
        <v>2050</v>
      </c>
      <c r="K374" s="1">
        <f t="shared" si="52"/>
        <v>55001</v>
      </c>
      <c r="L374" s="8"/>
    </row>
    <row r="375" spans="1:12" x14ac:dyDescent="0.35">
      <c r="A375">
        <v>357</v>
      </c>
      <c r="B375" s="13">
        <f t="shared" si="53"/>
        <v>44196</v>
      </c>
      <c r="C375" s="13">
        <f t="shared" si="54"/>
        <v>55061</v>
      </c>
      <c r="D375" s="35" t="str">
        <f t="shared" si="55"/>
        <v>Paid Off</v>
      </c>
      <c r="E375" s="36" t="str">
        <f t="shared" si="56"/>
        <v>N/A</v>
      </c>
      <c r="F375" s="12" t="str">
        <f t="shared" si="57"/>
        <v>N/A</v>
      </c>
      <c r="G375" s="11" t="str">
        <f t="shared" si="58"/>
        <v>N/A</v>
      </c>
      <c r="H375" s="10" t="str">
        <f t="shared" si="59"/>
        <v>Paid Off</v>
      </c>
      <c r="I375" s="9">
        <f t="shared" si="50"/>
        <v>9</v>
      </c>
      <c r="J375" s="8">
        <f t="shared" si="51"/>
        <v>2050</v>
      </c>
      <c r="K375" s="1">
        <f t="shared" si="52"/>
        <v>55032</v>
      </c>
      <c r="L375" s="8"/>
    </row>
    <row r="376" spans="1:12" x14ac:dyDescent="0.35">
      <c r="A376">
        <v>358</v>
      </c>
      <c r="B376" s="13">
        <f t="shared" si="53"/>
        <v>44196</v>
      </c>
      <c r="C376" s="13">
        <f t="shared" si="54"/>
        <v>55092</v>
      </c>
      <c r="D376" s="35" t="str">
        <f t="shared" si="55"/>
        <v>Paid Off</v>
      </c>
      <c r="E376" s="36" t="str">
        <f t="shared" si="56"/>
        <v>N/A</v>
      </c>
      <c r="F376" s="12" t="str">
        <f t="shared" si="57"/>
        <v>N/A</v>
      </c>
      <c r="G376" s="11" t="str">
        <f t="shared" si="58"/>
        <v>N/A</v>
      </c>
      <c r="H376" s="10" t="str">
        <f t="shared" si="59"/>
        <v>Paid Off</v>
      </c>
      <c r="I376" s="9">
        <f t="shared" si="50"/>
        <v>10</v>
      </c>
      <c r="J376" s="8">
        <f t="shared" si="51"/>
        <v>2050</v>
      </c>
      <c r="K376" s="1">
        <f t="shared" si="52"/>
        <v>55062</v>
      </c>
      <c r="L376" s="8"/>
    </row>
    <row r="377" spans="1:12" x14ac:dyDescent="0.35">
      <c r="A377">
        <v>359</v>
      </c>
      <c r="B377" s="13">
        <f t="shared" si="53"/>
        <v>44196</v>
      </c>
      <c r="C377" s="13">
        <f t="shared" si="54"/>
        <v>55122</v>
      </c>
      <c r="D377" s="35" t="str">
        <f t="shared" si="55"/>
        <v>Paid Off</v>
      </c>
      <c r="E377" s="36" t="str">
        <f t="shared" si="56"/>
        <v>N/A</v>
      </c>
      <c r="F377" s="12" t="str">
        <f t="shared" si="57"/>
        <v>N/A</v>
      </c>
      <c r="G377" s="11" t="str">
        <f t="shared" si="58"/>
        <v>N/A</v>
      </c>
      <c r="H377" s="10" t="str">
        <f t="shared" si="59"/>
        <v>Paid Off</v>
      </c>
      <c r="I377" s="9">
        <f t="shared" si="50"/>
        <v>11</v>
      </c>
      <c r="J377" s="8">
        <f t="shared" si="51"/>
        <v>2050</v>
      </c>
      <c r="K377" s="1">
        <f t="shared" si="52"/>
        <v>55093</v>
      </c>
      <c r="L377" s="8"/>
    </row>
    <row r="378" spans="1:12" x14ac:dyDescent="0.35">
      <c r="A378">
        <v>360</v>
      </c>
      <c r="B378" s="13">
        <f t="shared" si="53"/>
        <v>44196</v>
      </c>
      <c r="C378" s="13">
        <f t="shared" si="54"/>
        <v>55153</v>
      </c>
      <c r="D378" s="35" t="str">
        <f t="shared" si="55"/>
        <v>Paid Off</v>
      </c>
      <c r="E378" s="36" t="str">
        <f t="shared" si="56"/>
        <v>N/A</v>
      </c>
      <c r="F378" s="12" t="str">
        <f t="shared" si="57"/>
        <v>N/A</v>
      </c>
      <c r="G378" s="11" t="str">
        <f t="shared" si="58"/>
        <v>N/A</v>
      </c>
      <c r="H378" s="10" t="str">
        <f t="shared" si="59"/>
        <v>Paid Off</v>
      </c>
      <c r="I378" s="9">
        <f t="shared" si="50"/>
        <v>12</v>
      </c>
      <c r="J378" s="8">
        <f t="shared" si="51"/>
        <v>2050</v>
      </c>
      <c r="K378" s="1">
        <f t="shared" si="52"/>
        <v>55123</v>
      </c>
      <c r="L378" s="8"/>
    </row>
    <row r="379" spans="1:12" x14ac:dyDescent="0.35">
      <c r="B379" s="1"/>
      <c r="C379" s="1"/>
      <c r="D379" s="7"/>
      <c r="E379" s="7"/>
      <c r="F379" s="7"/>
      <c r="G379" s="7"/>
      <c r="H379" s="7"/>
    </row>
    <row r="380" spans="1:12" x14ac:dyDescent="0.35">
      <c r="B380" s="1"/>
      <c r="C380" s="1"/>
    </row>
    <row r="381" spans="1:12" x14ac:dyDescent="0.35">
      <c r="B381" s="1"/>
      <c r="C381" s="1"/>
    </row>
    <row r="382" spans="1:12" x14ac:dyDescent="0.35">
      <c r="B382" s="1"/>
      <c r="C382" s="1"/>
    </row>
    <row r="383" spans="1:12" x14ac:dyDescent="0.35">
      <c r="B383" s="1"/>
      <c r="C383" s="1"/>
    </row>
    <row r="384" spans="1:12" x14ac:dyDescent="0.35">
      <c r="B384" s="1"/>
      <c r="C384" s="1"/>
    </row>
    <row r="385" spans="2:3" x14ac:dyDescent="0.35">
      <c r="B385" s="1"/>
      <c r="C385" s="1"/>
    </row>
    <row r="386" spans="2:3" x14ac:dyDescent="0.35">
      <c r="B386" s="1"/>
      <c r="C386" s="1"/>
    </row>
    <row r="387" spans="2:3" x14ac:dyDescent="0.35">
      <c r="B387" s="1"/>
      <c r="C387" s="1"/>
    </row>
    <row r="388" spans="2:3" x14ac:dyDescent="0.35">
      <c r="B388" s="1"/>
      <c r="C388" s="1"/>
    </row>
    <row r="389" spans="2:3" x14ac:dyDescent="0.35">
      <c r="B389" s="1"/>
      <c r="C389" s="1"/>
    </row>
    <row r="390" spans="2:3" x14ac:dyDescent="0.35">
      <c r="B390" s="1"/>
      <c r="C390" s="1"/>
    </row>
    <row r="391" spans="2:3" x14ac:dyDescent="0.35">
      <c r="B391" s="1"/>
      <c r="C391" s="1"/>
    </row>
    <row r="392" spans="2:3" x14ac:dyDescent="0.35">
      <c r="B392" s="1"/>
      <c r="C392" s="1"/>
    </row>
    <row r="393" spans="2:3" x14ac:dyDescent="0.35">
      <c r="B393" s="1"/>
      <c r="C393" s="1"/>
    </row>
    <row r="394" spans="2:3" x14ac:dyDescent="0.35">
      <c r="B394" s="1"/>
      <c r="C394" s="1"/>
    </row>
  </sheetData>
  <mergeCells count="1">
    <mergeCell ref="I17:K17"/>
  </mergeCells>
  <printOptions headings="1" gridLines="1"/>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showRowColHeaders="0" tabSelected="1" workbookViewId="0">
      <selection activeCell="D23" sqref="D23"/>
    </sheetView>
  </sheetViews>
  <sheetFormatPr defaultColWidth="8.81640625" defaultRowHeight="14.5" x14ac:dyDescent="0.35"/>
  <cols>
    <col min="1" max="1" width="73" customWidth="1"/>
  </cols>
  <sheetData>
    <row r="1" spans="1:1" ht="77.5" x14ac:dyDescent="0.35">
      <c r="A1" s="4" t="s">
        <v>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D28"/>
  <sheetViews>
    <sheetView workbookViewId="0">
      <selection activeCell="B13" sqref="B13"/>
    </sheetView>
  </sheetViews>
  <sheetFormatPr defaultColWidth="8.81640625" defaultRowHeight="14.5" x14ac:dyDescent="0.35"/>
  <cols>
    <col min="1" max="1" width="26.81640625" customWidth="1"/>
    <col min="2" max="2" width="25.36328125" customWidth="1"/>
    <col min="3" max="3" width="26" customWidth="1"/>
    <col min="4" max="4" width="25.36328125" customWidth="1"/>
  </cols>
  <sheetData>
    <row r="1" spans="1:4" x14ac:dyDescent="0.35">
      <c r="A1" t="s">
        <v>0</v>
      </c>
      <c r="B1" t="s">
        <v>1</v>
      </c>
      <c r="C1" t="s">
        <v>2</v>
      </c>
      <c r="D1" t="s">
        <v>3</v>
      </c>
    </row>
    <row r="2" spans="1:4" x14ac:dyDescent="0.35">
      <c r="A2" s="1">
        <v>44577</v>
      </c>
      <c r="B2" s="2">
        <v>0.66199074074074071</v>
      </c>
      <c r="C2" t="s">
        <v>5</v>
      </c>
      <c r="D2" t="s">
        <v>6</v>
      </c>
    </row>
    <row r="3" spans="1:4" x14ac:dyDescent="0.35">
      <c r="A3" s="1">
        <v>44577</v>
      </c>
      <c r="B3" s="2">
        <v>0.67734953703703704</v>
      </c>
    </row>
    <row r="4" spans="1:4" x14ac:dyDescent="0.35">
      <c r="A4" s="1">
        <v>44577</v>
      </c>
      <c r="B4" s="2">
        <v>0.68570601851851853</v>
      </c>
      <c r="C4" t="s">
        <v>42</v>
      </c>
      <c r="D4" t="s">
        <v>43</v>
      </c>
    </row>
    <row r="5" spans="1:4" x14ac:dyDescent="0.35">
      <c r="A5" s="1">
        <v>44577</v>
      </c>
      <c r="B5" s="2">
        <v>0.94204861111111116</v>
      </c>
      <c r="C5" t="s">
        <v>5</v>
      </c>
      <c r="D5" t="s">
        <v>44</v>
      </c>
    </row>
    <row r="6" spans="1:4" x14ac:dyDescent="0.35">
      <c r="A6" s="1">
        <v>44703</v>
      </c>
      <c r="B6" s="2">
        <v>0.57141203703703702</v>
      </c>
      <c r="C6" t="s">
        <v>5</v>
      </c>
      <c r="D6" t="s">
        <v>44</v>
      </c>
    </row>
    <row r="7" spans="1:4" x14ac:dyDescent="0.35">
      <c r="A7" s="1">
        <v>44703</v>
      </c>
      <c r="B7" s="2">
        <v>0.60406250000000006</v>
      </c>
      <c r="C7" t="s">
        <v>5</v>
      </c>
      <c r="D7" t="s">
        <v>44</v>
      </c>
    </row>
    <row r="8" spans="1:4" x14ac:dyDescent="0.35">
      <c r="A8" s="1">
        <v>44703</v>
      </c>
      <c r="B8" s="2">
        <v>0.62137731481481484</v>
      </c>
      <c r="C8" t="s">
        <v>5</v>
      </c>
      <c r="D8" t="s">
        <v>44</v>
      </c>
    </row>
    <row r="9" spans="1:4" x14ac:dyDescent="0.35">
      <c r="A9" s="1">
        <v>44785</v>
      </c>
      <c r="B9" s="2">
        <v>0.7741203703703704</v>
      </c>
      <c r="C9" t="s">
        <v>5</v>
      </c>
      <c r="D9" t="s">
        <v>44</v>
      </c>
    </row>
    <row r="10" spans="1:4" x14ac:dyDescent="0.35">
      <c r="A10" s="1">
        <v>44947</v>
      </c>
      <c r="B10" s="2">
        <v>0.72833333333333339</v>
      </c>
      <c r="C10" t="s">
        <v>5</v>
      </c>
      <c r="D10" t="s">
        <v>44</v>
      </c>
    </row>
    <row r="11" spans="1:4" x14ac:dyDescent="0.35">
      <c r="A11" s="1">
        <v>45067</v>
      </c>
      <c r="B11" s="2">
        <v>0.78240740740740744</v>
      </c>
      <c r="C11" t="s">
        <v>5</v>
      </c>
      <c r="D11" t="s">
        <v>44</v>
      </c>
    </row>
    <row r="12" spans="1:4" x14ac:dyDescent="0.35">
      <c r="A12" s="1">
        <v>45067</v>
      </c>
      <c r="B12" s="2">
        <v>0.78739583333333341</v>
      </c>
      <c r="C12" t="s">
        <v>5</v>
      </c>
      <c r="D12" t="s">
        <v>44</v>
      </c>
    </row>
    <row r="13" spans="1:4" x14ac:dyDescent="0.35">
      <c r="A13" s="1">
        <v>45172</v>
      </c>
      <c r="B13" s="2">
        <v>0.74821759259259257</v>
      </c>
      <c r="C13" t="s">
        <v>5</v>
      </c>
      <c r="D13" t="s">
        <v>44</v>
      </c>
    </row>
    <row r="14" spans="1:4" x14ac:dyDescent="0.35">
      <c r="A14" s="1">
        <v>45305</v>
      </c>
      <c r="B14" s="2">
        <v>0.44750000000000001</v>
      </c>
      <c r="C14" t="s">
        <v>5</v>
      </c>
      <c r="D14" t="s">
        <v>44</v>
      </c>
    </row>
    <row r="15" spans="1:4" x14ac:dyDescent="0.35">
      <c r="A15" s="1">
        <v>45305</v>
      </c>
      <c r="B15" s="2">
        <v>0.44813657407407409</v>
      </c>
      <c r="C15" t="s">
        <v>5</v>
      </c>
      <c r="D15" t="s">
        <v>44</v>
      </c>
    </row>
    <row r="16" spans="1:4" x14ac:dyDescent="0.35">
      <c r="A16" s="1">
        <v>45305</v>
      </c>
      <c r="B16" s="2">
        <v>0.44883101851851853</v>
      </c>
      <c r="C16" t="s">
        <v>5</v>
      </c>
      <c r="D16" t="s">
        <v>44</v>
      </c>
    </row>
    <row r="17" spans="1:4" x14ac:dyDescent="0.35">
      <c r="A17" s="1">
        <v>45305</v>
      </c>
      <c r="B17" s="2">
        <v>0.5653125</v>
      </c>
      <c r="C17" t="s">
        <v>5</v>
      </c>
      <c r="D17" t="s">
        <v>44</v>
      </c>
    </row>
    <row r="18" spans="1:4" x14ac:dyDescent="0.35">
      <c r="A18" s="1">
        <v>45305</v>
      </c>
      <c r="B18" s="2">
        <v>0.5659953703703704</v>
      </c>
      <c r="C18" t="s">
        <v>5</v>
      </c>
      <c r="D18" t="s">
        <v>44</v>
      </c>
    </row>
    <row r="19" spans="1:4" x14ac:dyDescent="0.35">
      <c r="A19" s="1">
        <v>45305</v>
      </c>
      <c r="B19" s="2">
        <v>0.5667592592592593</v>
      </c>
      <c r="C19" t="s">
        <v>5</v>
      </c>
      <c r="D19" t="s">
        <v>44</v>
      </c>
    </row>
    <row r="20" spans="1:4" x14ac:dyDescent="0.35">
      <c r="A20" s="1">
        <v>45305</v>
      </c>
      <c r="B20" s="2">
        <v>0.57553240740740741</v>
      </c>
      <c r="C20" t="s">
        <v>5</v>
      </c>
      <c r="D20" t="s">
        <v>44</v>
      </c>
    </row>
    <row r="21" spans="1:4" x14ac:dyDescent="0.35">
      <c r="A21" s="1">
        <v>45438</v>
      </c>
      <c r="B21" s="2">
        <v>0.66728009259259258</v>
      </c>
      <c r="C21" t="s">
        <v>5</v>
      </c>
      <c r="D21" t="s">
        <v>44</v>
      </c>
    </row>
    <row r="22" spans="1:4" x14ac:dyDescent="0.35">
      <c r="A22" s="1">
        <v>45438</v>
      </c>
      <c r="B22" s="2">
        <v>0.66892361111111109</v>
      </c>
      <c r="C22" t="s">
        <v>5</v>
      </c>
      <c r="D22" t="s">
        <v>44</v>
      </c>
    </row>
    <row r="23" spans="1:4" x14ac:dyDescent="0.35">
      <c r="A23" s="1">
        <v>45536</v>
      </c>
      <c r="B23" s="2">
        <v>0.85137731481481482</v>
      </c>
      <c r="C23" t="s">
        <v>5</v>
      </c>
      <c r="D23" t="s">
        <v>44</v>
      </c>
    </row>
    <row r="24" spans="1:4" x14ac:dyDescent="0.35">
      <c r="A24" s="1">
        <v>45669</v>
      </c>
      <c r="B24" s="2">
        <v>0.59525462962962961</v>
      </c>
      <c r="C24" t="s">
        <v>5</v>
      </c>
      <c r="D24" t="s">
        <v>44</v>
      </c>
    </row>
    <row r="25" spans="1:4" x14ac:dyDescent="0.35">
      <c r="A25" s="1">
        <v>45788</v>
      </c>
      <c r="B25" s="2">
        <v>0.8220601851851852</v>
      </c>
      <c r="C25" t="s">
        <v>5</v>
      </c>
      <c r="D25" t="s">
        <v>44</v>
      </c>
    </row>
    <row r="26" spans="1:4" x14ac:dyDescent="0.35">
      <c r="A26" s="1">
        <v>45805</v>
      </c>
      <c r="B26" s="2">
        <v>0.84125000000000005</v>
      </c>
      <c r="C26" t="s">
        <v>49</v>
      </c>
      <c r="D26" t="s">
        <v>50</v>
      </c>
    </row>
    <row r="27" spans="1:4" x14ac:dyDescent="0.35">
      <c r="A27" s="1">
        <v>45805</v>
      </c>
      <c r="B27" s="2">
        <v>0.9371990740740741</v>
      </c>
      <c r="C27" t="s">
        <v>49</v>
      </c>
      <c r="D27" t="s">
        <v>50</v>
      </c>
    </row>
    <row r="28" spans="1:4" x14ac:dyDescent="0.35">
      <c r="A28" s="1">
        <v>45811</v>
      </c>
      <c r="B28" s="2">
        <v>0.906712962962963</v>
      </c>
      <c r="C28" t="s">
        <v>49</v>
      </c>
      <c r="D28" t="s">
        <v>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Announcement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 DaDalt</dc:creator>
  <cp:lastModifiedBy>Vo, Dylan T</cp:lastModifiedBy>
  <dcterms:created xsi:type="dcterms:W3CDTF">2018-07-30T15:58:40Z</dcterms:created>
  <dcterms:modified xsi:type="dcterms:W3CDTF">2025-06-04T05:11:02Z</dcterms:modified>
</cp:coreProperties>
</file>